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4.xml" ContentType="application/vnd.openxmlformats-officedocument.drawing+xml"/>
  <Override PartName="/xl/ctrlProps/ctrlProp26.xml" ContentType="application/vnd.ms-excel.controlproperties+xml"/>
  <Override PartName="/xl/ctrlProps/ctrlProp27.xml" ContentType="application/vnd.ms-excel.controlproperties+xml"/>
  <Override PartName="/xl/queryTables/queryTable3.xml" ContentType="application/vnd.openxmlformats-officedocument.spreadsheetml.queryTable+xml"/>
  <Override PartName="/xl/drawings/drawing5.xml" ContentType="application/vnd.openxmlformats-officedocument.drawing+xml"/>
  <Override PartName="/xl/ctrlProps/ctrlProp2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BIGMO\z. Read-Write\"/>
    </mc:Choice>
  </mc:AlternateContent>
  <bookViews>
    <workbookView xWindow="-15" yWindow="4785" windowWidth="11955" windowHeight="7275"/>
  </bookViews>
  <sheets>
    <sheet name="Display Config" sheetId="5" r:id="rId1"/>
    <sheet name="Button Bar" sheetId="9" state="hidden" r:id="rId2"/>
    <sheet name="Features" sheetId="10" state="hidden" r:id="rId3"/>
    <sheet name="Support" sheetId="8" state="hidden" r:id="rId4"/>
    <sheet name="MultiScope Options" sheetId="15" r:id="rId5"/>
    <sheet name="Internal Server Paths" sheetId="14" state="hidden" r:id="rId6"/>
    <sheet name="SysExec" sheetId="2" state="hidden" r:id="rId7"/>
    <sheet name="DSPCTRL" sheetId="4" state="hidden" r:id="rId8"/>
    <sheet name="SysConfig" sheetId="16" state="hidden" r:id="rId9"/>
    <sheet name="Multiscope Display" sheetId="7" state="hidden" r:id="rId10"/>
    <sheet name="Revision History" sheetId="13" state="hidden" r:id="rId11"/>
  </sheets>
  <functionGroups builtInGroupCount="18"/>
  <definedNames>
    <definedName name="_xlnm._FilterDatabase" localSheetId="1" hidden="1">'Button Bar'!$N$46:$P$71</definedName>
    <definedName name="DSPCTRL" localSheetId="7">DSPCTRL!$A$1:$A$4</definedName>
    <definedName name="MultiScope_Display" localSheetId="9">'Multiscope Display'!$A$1:$A$670</definedName>
    <definedName name="PlotWorkspace">'Display Config'!$H$31</definedName>
    <definedName name="pod">'Display Config'!$H$4</definedName>
    <definedName name="pod_table">'Display Config'!$A$3:$D$21</definedName>
    <definedName name="_xlnm.Print_Area" localSheetId="0">'Display Config'!$A$2:$D$21</definedName>
    <definedName name="Serial">'Display Config'!$A$1</definedName>
    <definedName name="StartMSD">'Display Config'!$A$22</definedName>
    <definedName name="SYSEXEC" localSheetId="6">SysExec!$A$1:$A$16</definedName>
    <definedName name="user">'Display Config'!$H$5</definedName>
    <definedName name="UserName">'Display Config'!$H$26</definedName>
    <definedName name="UserNameCheck">'Display Config'!$I$5</definedName>
    <definedName name="WorkingDir">'Display Config'!$H$30</definedName>
    <definedName name="ZB">'Display Config'!$H$24</definedName>
  </definedNames>
  <calcPr calcId="152511"/>
</workbook>
</file>

<file path=xl/calcChain.xml><?xml version="1.0" encoding="utf-8"?>
<calcChain xmlns="http://schemas.openxmlformats.org/spreadsheetml/2006/main">
  <c r="F14" i="5" l="1"/>
  <c r="H7" i="5" l="1"/>
  <c r="A22" i="5" l="1"/>
  <c r="A19" i="16"/>
  <c r="A9" i="7" l="1"/>
  <c r="H26" i="5" l="1"/>
  <c r="I5" i="5" s="1"/>
  <c r="A37" i="7"/>
  <c r="H29" i="5" l="1"/>
  <c r="A80" i="5"/>
  <c r="A81" i="5"/>
  <c r="A79" i="5"/>
  <c r="H28" i="5"/>
  <c r="A18" i="2"/>
  <c r="A6" i="4" l="1"/>
  <c r="I4" i="5" l="1"/>
  <c r="H30" i="5" l="1"/>
  <c r="F95" i="5"/>
  <c r="D20" i="14"/>
  <c r="D21" i="14"/>
  <c r="D22" i="14"/>
  <c r="D23" i="14"/>
  <c r="D24" i="14"/>
  <c r="D19" i="14"/>
  <c r="C82" i="7" l="1"/>
  <c r="A82" i="7" s="1"/>
  <c r="H31" i="5"/>
  <c r="F96" i="5"/>
  <c r="A86" i="7"/>
  <c r="A85" i="7"/>
  <c r="A84" i="7"/>
  <c r="B53" i="5"/>
  <c r="D18" i="14" l="1"/>
  <c r="B19" i="14"/>
  <c r="B20" i="14"/>
  <c r="B21" i="14"/>
  <c r="B22" i="14"/>
  <c r="B23" i="14"/>
  <c r="B24" i="14"/>
  <c r="B18" i="14"/>
  <c r="H3" i="5" l="1"/>
  <c r="D41" i="7" l="1"/>
  <c r="A41" i="7" l="1"/>
  <c r="E9" i="10"/>
  <c r="D9" i="10"/>
  <c r="AC29" i="9"/>
  <c r="L29" i="9"/>
  <c r="L28" i="9"/>
  <c r="A4" i="4"/>
  <c r="A3" i="4"/>
  <c r="D537" i="7"/>
  <c r="D535" i="7"/>
  <c r="A535" i="7" s="1"/>
  <c r="D533" i="7"/>
  <c r="A533" i="7" s="1"/>
  <c r="D531" i="7"/>
  <c r="D529" i="7"/>
  <c r="I660" i="7"/>
  <c r="I655" i="7"/>
  <c r="H655" i="7" s="1"/>
  <c r="I650" i="7"/>
  <c r="I625" i="7"/>
  <c r="H625" i="7" s="1"/>
  <c r="I630" i="7"/>
  <c r="H630" i="7" s="1"/>
  <c r="I635" i="7"/>
  <c r="H635" i="7" s="1"/>
  <c r="I640" i="7"/>
  <c r="H640" i="7" s="1"/>
  <c r="I645" i="7"/>
  <c r="H645" i="7" s="1"/>
  <c r="H660" i="7"/>
  <c r="H650" i="7"/>
  <c r="A660" i="7"/>
  <c r="A655" i="7"/>
  <c r="A650" i="7"/>
  <c r="A645" i="7"/>
  <c r="A640" i="7"/>
  <c r="A635" i="7"/>
  <c r="A630" i="7"/>
  <c r="A625" i="7"/>
  <c r="I622" i="7"/>
  <c r="L622" i="7" s="1"/>
  <c r="F54" i="7"/>
  <c r="E66" i="7" s="1"/>
  <c r="A66" i="7" s="1"/>
  <c r="E54" i="7"/>
  <c r="A54" i="7" s="1"/>
  <c r="H54" i="7"/>
  <c r="F41" i="5" s="1"/>
  <c r="C69" i="7"/>
  <c r="A69" i="7" s="1"/>
  <c r="A72" i="7"/>
  <c r="A12" i="7"/>
  <c r="A63" i="7"/>
  <c r="A25" i="7"/>
  <c r="A24" i="7"/>
  <c r="A22" i="7"/>
  <c r="F7" i="7"/>
  <c r="I7" i="7" s="1"/>
  <c r="H7" i="7"/>
  <c r="F6" i="7"/>
  <c r="J6" i="7" s="1"/>
  <c r="C65" i="7"/>
  <c r="A65" i="7" s="1"/>
  <c r="C74" i="7"/>
  <c r="A74" i="7" s="1"/>
  <c r="A601" i="7"/>
  <c r="A600" i="7"/>
  <c r="A599" i="7"/>
  <c r="A598" i="7"/>
  <c r="A597" i="7"/>
  <c r="A596" i="7"/>
  <c r="A595" i="7"/>
  <c r="A594" i="7"/>
  <c r="A593" i="7"/>
  <c r="A592" i="7"/>
  <c r="A591" i="7"/>
  <c r="A590" i="7"/>
  <c r="A589" i="7"/>
  <c r="A588" i="7"/>
  <c r="A587" i="7"/>
  <c r="A586" i="7"/>
  <c r="A585" i="7"/>
  <c r="A584" i="7"/>
  <c r="A583" i="7"/>
  <c r="A582" i="7"/>
  <c r="A541" i="7"/>
  <c r="A542" i="7"/>
  <c r="A543" i="7"/>
  <c r="A544" i="7"/>
  <c r="A545" i="7"/>
  <c r="A546" i="7"/>
  <c r="A527" i="7"/>
  <c r="A528" i="7"/>
  <c r="A529" i="7"/>
  <c r="A530" i="7"/>
  <c r="A531" i="7"/>
  <c r="A532" i="7"/>
  <c r="A534" i="7"/>
  <c r="A536" i="7"/>
  <c r="A537" i="7"/>
  <c r="A538" i="7"/>
  <c r="A539" i="7"/>
  <c r="A540" i="7"/>
  <c r="A73" i="7"/>
  <c r="A68" i="7"/>
  <c r="A90" i="7"/>
  <c r="A21" i="7"/>
  <c r="A20" i="7"/>
  <c r="G8" i="5"/>
  <c r="N36" i="8"/>
  <c r="R36" i="8" s="1"/>
  <c r="N35" i="8"/>
  <c r="Q35" i="8" s="1"/>
  <c r="P35" i="8"/>
  <c r="A14" i="2"/>
  <c r="A9" i="2"/>
  <c r="A5" i="2"/>
  <c r="AC30" i="9"/>
  <c r="L30" i="9"/>
  <c r="AC31" i="9"/>
  <c r="AC32" i="9" s="1"/>
  <c r="L31" i="9" l="1"/>
  <c r="R35" i="8"/>
  <c r="J7" i="7"/>
  <c r="K622" i="7"/>
  <c r="L32" i="9"/>
  <c r="AC33" i="9"/>
  <c r="M622" i="7"/>
  <c r="P36" i="8"/>
  <c r="Q36" i="8"/>
  <c r="H6" i="7"/>
  <c r="I6" i="7"/>
  <c r="E67" i="7"/>
  <c r="A67" i="7" s="1"/>
  <c r="AC34" i="9" l="1"/>
  <c r="L33" i="9"/>
  <c r="L34" i="9" l="1"/>
  <c r="AC35" i="9"/>
  <c r="L35" i="9" l="1"/>
  <c r="AC36" i="9"/>
  <c r="L36" i="9" l="1"/>
  <c r="AC37" i="9"/>
  <c r="AC38" i="9" l="1"/>
  <c r="L37" i="9"/>
  <c r="L38" i="9" l="1"/>
  <c r="AC39" i="9"/>
  <c r="L39" i="9" l="1"/>
  <c r="AC40" i="9"/>
  <c r="L40" i="9" l="1"/>
  <c r="AC41" i="9"/>
  <c r="AC42" i="9" l="1"/>
  <c r="L41" i="9"/>
  <c r="AC43" i="9" l="1"/>
  <c r="L43" i="9" s="1"/>
  <c r="L42" i="9"/>
</calcChain>
</file>

<file path=xl/comments1.xml><?xml version="1.0" encoding="utf-8"?>
<comments xmlns="http://schemas.openxmlformats.org/spreadsheetml/2006/main">
  <authors>
    <author>dspcon</author>
    <author>Al Stem</author>
  </authors>
  <commentList>
    <comment ref="A1" authorId="0" shapeId="0">
      <text>
        <r>
          <rPr>
            <sz val="9"/>
            <color indexed="81"/>
            <rFont val="Tahoma"/>
            <family val="2"/>
          </rPr>
          <t>This is the serial number of the server this program is using.</t>
        </r>
      </text>
    </comment>
    <comment ref="H5" authorId="0" shapeId="0">
      <text>
        <r>
          <rPr>
            <sz val="9"/>
            <color indexed="81"/>
            <rFont val="Tahoma"/>
            <family val="2"/>
          </rPr>
          <t xml:space="preserve"> This is who is logged on to this user session of this server.
</t>
        </r>
        <r>
          <rPr>
            <b/>
            <sz val="9"/>
            <color indexed="81"/>
            <rFont val="Tahoma"/>
            <family val="2"/>
          </rPr>
          <t xml:space="preserve">This field is NOT editable.
</t>
        </r>
        <r>
          <rPr>
            <sz val="9"/>
            <color indexed="81"/>
            <rFont val="Tahoma"/>
            <family val="2"/>
          </rPr>
          <t>To change the log-on name, you must log off and log back on as the desired user.  User dspcon may act as admin and change other user's configurations.</t>
        </r>
      </text>
    </comment>
    <comment ref="H26" authorId="0" shapeId="0">
      <text>
        <r>
          <rPr>
            <sz val="9"/>
            <color indexed="81"/>
            <rFont val="Tahoma"/>
            <family val="2"/>
          </rPr>
          <t>This field is not editable here.  Select user name above.</t>
        </r>
      </text>
    </comment>
    <comment ref="H27" authorId="0" shapeId="0">
      <text>
        <r>
          <rPr>
            <b/>
            <sz val="9"/>
            <color indexed="81"/>
            <rFont val="Tahoma"/>
            <family val="2"/>
          </rPr>
          <t xml:space="preserve">Note regarding Exports:
</t>
        </r>
        <r>
          <rPr>
            <sz val="9"/>
            <color indexed="81"/>
            <rFont val="Tahoma"/>
            <family val="2"/>
          </rPr>
          <t>This field provides a 'root' folder where all users' exports are sent.  The fields immediately below will populate using this information.  
You may map an existing network or external drive in this field to reduce the C: drive storage load if multiple users are present.
  The fields below will auto-update to the new location.</t>
        </r>
      </text>
    </comment>
    <comment ref="G28" authorId="0" shapeId="0">
      <text>
        <r>
          <rPr>
            <sz val="9"/>
            <color indexed="81"/>
            <rFont val="Tahoma"/>
            <family val="2"/>
          </rPr>
          <t xml:space="preserve">
Each user will have a custom mapped folder for image and data export from Multiscope.
</t>
        </r>
      </text>
    </comment>
    <comment ref="F44" authorId="1" shapeId="0">
      <text>
        <r>
          <rPr>
            <sz val="9"/>
            <color indexed="81"/>
            <rFont val="Tahoma"/>
            <family val="2"/>
          </rPr>
          <t xml:space="preserve">
This option is used to connect your instance of Multiscope to an external Acquisition Workstation other than the one being hosted on this server or different from the ones available in the drop-down list above.
Normally, this box should be unchecked.
</t>
        </r>
      </text>
    </comment>
  </commentList>
</comments>
</file>

<file path=xl/connections.xml><?xml version="1.0" encoding="utf-8"?>
<connections xmlns="http://schemas.openxmlformats.org/spreadsheetml/2006/main">
  <connection id="1" name="DSPCTRL" type="6" refreshedVersion="2" background="1" saveData="1">
    <textPr sourceFile="E:\1. Main\1. DSPCon Software\POD Archive\IDR\Huddle 1 Station 1\DSPCon Client 302\DSPCon\DSPCTRL.ini" tab="0">
      <textFields>
        <textField type="text"/>
      </textFields>
    </textPr>
  </connection>
  <connection id="2" name="MultiScope Display" type="6" refreshedVersion="0" background="1" saveData="1">
    <textPr sourceFile="C:\Program Files\DSPCon Piranha-III CMW\MultiScope Display.ini">
      <textFields>
        <textField/>
      </textFields>
    </textPr>
  </connection>
  <connection id="3" name="SYSEXEC" type="6" refreshedVersion="2" background="1" saveData="1">
    <textPr sourceFile="E:\1. Main\1. DSPCon Software\POD Archive\IDR\Huddle 1 Station 1\DSPCon Client 302\DSPCon\SYSEXEC.ini" tab="0">
      <textFields>
        <textField type="text"/>
      </textFields>
    </textPr>
  </connection>
</connections>
</file>

<file path=xl/sharedStrings.xml><?xml version="1.0" encoding="utf-8"?>
<sst xmlns="http://schemas.openxmlformats.org/spreadsheetml/2006/main" count="1406" uniqueCount="842">
  <si>
    <t>EnableAutoScales=FALSE</t>
  </si>
  <si>
    <t>HideRootWindow=TRUE</t>
  </si>
  <si>
    <t>[system]</t>
  </si>
  <si>
    <t>MsgAckTimeOut=5000</t>
  </si>
  <si>
    <t>[debug]</t>
  </si>
  <si>
    <t>debug=FALSE</t>
  </si>
  <si>
    <t>[SE]</t>
  </si>
  <si>
    <t>[RS]</t>
  </si>
  <si>
    <t>mask = A000:FFFF</t>
  </si>
  <si>
    <t>[AS]</t>
  </si>
  <si>
    <t>SpectralScaling=Local</t>
  </si>
  <si>
    <t>[VLOOPS]</t>
  </si>
  <si>
    <t>POD</t>
  </si>
  <si>
    <t>IP CM1</t>
  </si>
  <si>
    <t>IP DAW</t>
  </si>
  <si>
    <t>POD Location</t>
  </si>
  <si>
    <t>EV - IDR</t>
  </si>
  <si>
    <t>IP Addresses:</t>
  </si>
  <si>
    <t>POD Location:</t>
  </si>
  <si>
    <t>3.59.68.167</t>
  </si>
  <si>
    <t>3.86.68.161</t>
  </si>
  <si>
    <t>3.86.68.162</t>
  </si>
  <si>
    <t>[Multiscope Display]</t>
  </si>
  <si>
    <t>scrollGraphCursor=FALSE</t>
  </si>
  <si>
    <t>blinkSpeed=125</t>
  </si>
  <si>
    <t>blinkFG=16777216</t>
  </si>
  <si>
    <t>blinkBG=16113331</t>
  </si>
  <si>
    <t>system=Multiscope</t>
  </si>
  <si>
    <t>MaxDisplayRate=30</t>
  </si>
  <si>
    <t>ShaftRevs=1</t>
  </si>
  <si>
    <t>LinkOriginX=0</t>
  </si>
  <si>
    <t>LinkOriginY=0</t>
  </si>
  <si>
    <t>ImageFileFormat=BMP</t>
  </si>
  <si>
    <t>BodeRefLead=FALSE</t>
  </si>
  <si>
    <t>PaceContinuous=FALSE</t>
  </si>
  <si>
    <t>IndicateSynchLoss=FALSE</t>
  </si>
  <si>
    <t>InhibitPkHoldOnLRScopes=TRUE</t>
  </si>
  <si>
    <t>InhibitLRPeakHold=FALSE</t>
  </si>
  <si>
    <t>ScrollCampbell=TRUE</t>
  </si>
  <si>
    <t>EnableSpecIsRPM=TRUE</t>
  </si>
  <si>
    <t>SuppressErrors=FALSE</t>
  </si>
  <si>
    <t>Verbose=FALSE</t>
  </si>
  <si>
    <t>CommandBufferSize=65536</t>
  </si>
  <si>
    <t>PositionPageOnAcquisitionStartup=FALSE</t>
  </si>
  <si>
    <t>ShowTDAlarmBackground=FALSE</t>
  </si>
  <si>
    <t>[Settings]</t>
  </si>
  <si>
    <t>BackgroundChannels=0</t>
  </si>
  <si>
    <t>XScaleFormat=%_3p</t>
  </si>
  <si>
    <t>YScaleFormat=%_3p</t>
  </si>
  <si>
    <t>ZModUpdateMode=Sweep</t>
  </si>
  <si>
    <t>ZModPeakXRange=3</t>
  </si>
  <si>
    <t>ZModPeakYRange=3</t>
  </si>
  <si>
    <t>ChartUpdateMode=Scroll</t>
  </si>
  <si>
    <t>TachSelect=0</t>
  </si>
  <si>
    <t>CampbellTilt=0</t>
  </si>
  <si>
    <t>CampbellLineEdges=FALSE</t>
  </si>
  <si>
    <t>AllowReplay=TRUE</t>
  </si>
  <si>
    <t>YTopOnDecade=TRUE</t>
  </si>
  <si>
    <t>YScaleDynamicRange=60.000000</t>
  </si>
  <si>
    <t>YScale=Local</t>
  </si>
  <si>
    <t>UseSpectralTachEstimate=FALSE</t>
  </si>
  <si>
    <t>BlockChanChanges=FALSE</t>
  </si>
  <si>
    <t>FeatureTrackUpdateMethod=Largest</t>
  </si>
  <si>
    <t>FeatureTrackHistory=100</t>
  </si>
  <si>
    <t>AmpScaleLimts=Local</t>
  </si>
  <si>
    <t>AmplitudeScaleLimits=Local</t>
  </si>
  <si>
    <t>ChartIsTime=FALSE</t>
  </si>
  <si>
    <t>[DisplayConfig]</t>
  </si>
  <si>
    <t>DisplayDefinitionsFile=basic</t>
  </si>
  <si>
    <t>PopupDefinitionsFile=Popup</t>
  </si>
  <si>
    <t>PiranhaIIIPort=8000</t>
  </si>
  <si>
    <t>System=PiranhaIII-PC</t>
  </si>
  <si>
    <t>[ButtonBar]</t>
  </si>
  <si>
    <t>Layout=1x16</t>
  </si>
  <si>
    <t>Count=16</t>
  </si>
  <si>
    <t>Color=White</t>
  </si>
  <si>
    <t>01=BB_SelectAll,0.2,Select All,Select All</t>
  </si>
  <si>
    <t>02=BB_Select,1.2,Select,Select</t>
  </si>
  <si>
    <t>03=BB_ChanAdvance,2.4,Chan Adv.,Chan Adv.</t>
  </si>
  <si>
    <t>04=BB_ChanDecrement,3.4,Chan Decr,Chan Decr</t>
  </si>
  <si>
    <t>05=BB_Print,4.6,Print,Print</t>
  </si>
  <si>
    <t>06=BB_Export,5.6,Export,Export</t>
  </si>
  <si>
    <t>07=BB_Print&amp;Export,6.6,Print+,Print+</t>
  </si>
  <si>
    <t>08=BB_CursorPeakTrack,7.8,CsrTrack,CsrTrack</t>
  </si>
  <si>
    <t>09=BB_CursorLock,8.8,CsrLock,CsrLock</t>
  </si>
  <si>
    <t>10=BB_CursorUser,9.8,CsrUser,CsrUser</t>
  </si>
  <si>
    <t>11=BB_CursorHide,10.8,CsrHide,CsrHide</t>
  </si>
  <si>
    <t>12=BB_Autoscale,12,AutoScale,AutoScale</t>
  </si>
  <si>
    <t>13=BB_Reset,13,Reset,Reset</t>
  </si>
  <si>
    <t>14=BB_ClearSpectralHistory,14,ClrSpcHst,ClrSpcHst</t>
  </si>
  <si>
    <t>15=BB_PageUp,15.2,PageUp,PageUp</t>
  </si>
  <si>
    <t>16=BB_PageDn,16.2,PageDn,PageDn</t>
  </si>
  <si>
    <t>ShowRate=FALSE</t>
  </si>
  <si>
    <t>ForceCapabilties=FALSE</t>
  </si>
  <si>
    <t>Capabilities=4</t>
  </si>
  <si>
    <t>[Waterfall]</t>
  </si>
  <si>
    <t>FillStyle=cwFlat</t>
  </si>
  <si>
    <t>FillColor=F4E39F</t>
  </si>
  <si>
    <t>ColorMapStyle=cwShaded</t>
  </si>
  <si>
    <t>TracelColor=FF4412</t>
  </si>
  <si>
    <t>BGColor=29EF</t>
  </si>
  <si>
    <t>GraphFrameColor=FBF4D9</t>
  </si>
  <si>
    <t>PlotAreaColor=FBF4D9</t>
  </si>
  <si>
    <t>LineColor=0</t>
  </si>
  <si>
    <t>[Trace00]</t>
  </si>
  <si>
    <t>Color=65504</t>
  </si>
  <si>
    <t>Interpolation=2</t>
  </si>
  <si>
    <t>PointStyle=0</t>
  </si>
  <si>
    <t>LineStyle=0</t>
  </si>
  <si>
    <t>LineWidth=0</t>
  </si>
  <si>
    <t>BarStyle=0</t>
  </si>
  <si>
    <t>FillColor=5000268</t>
  </si>
  <si>
    <t>FillTo=-1</t>
  </si>
  <si>
    <t>[Trace01]</t>
  </si>
  <si>
    <t>Color=16711680</t>
  </si>
  <si>
    <t>[Trace02]</t>
  </si>
  <si>
    <t>Color=14941952</t>
  </si>
  <si>
    <t>[Trace03]</t>
  </si>
  <si>
    <t>Color=16860</t>
  </si>
  <si>
    <t>[Trace04]</t>
  </si>
  <si>
    <t>Color=6618880</t>
  </si>
  <si>
    <t>[Trace05]</t>
  </si>
  <si>
    <t>Color=16756778</t>
  </si>
  <si>
    <t>[Trace06]</t>
  </si>
  <si>
    <t>Color=15663343</t>
  </si>
  <si>
    <t>[Trace07]</t>
  </si>
  <si>
    <t>Color=65472</t>
  </si>
  <si>
    <t>[Trace08]</t>
  </si>
  <si>
    <t>[Trace09]</t>
  </si>
  <si>
    <t>[Trace10]</t>
  </si>
  <si>
    <t>[Trace11]</t>
  </si>
  <si>
    <t>[Trace12]</t>
  </si>
  <si>
    <t>[Trace13]</t>
  </si>
  <si>
    <t>[Trace14]</t>
  </si>
  <si>
    <t>[Trace15]</t>
  </si>
  <si>
    <t>[Trace16]</t>
  </si>
  <si>
    <t>[Trace17]</t>
  </si>
  <si>
    <t>[Trace18]</t>
  </si>
  <si>
    <t>[Trace19]</t>
  </si>
  <si>
    <t>[Trace20]</t>
  </si>
  <si>
    <t>Color=16756523</t>
  </si>
  <si>
    <t>[Trace21]</t>
  </si>
  <si>
    <t>Color=1245142</t>
  </si>
  <si>
    <t>[Trace22]</t>
  </si>
  <si>
    <t>[Trace23]</t>
  </si>
  <si>
    <t>[Trace24]</t>
  </si>
  <si>
    <t>[Trace25]</t>
  </si>
  <si>
    <t>[Trace26]</t>
  </si>
  <si>
    <t>[Trace27]</t>
  </si>
  <si>
    <t>[Trace28]</t>
  </si>
  <si>
    <t>[Trace29]</t>
  </si>
  <si>
    <t>[Trace30]</t>
  </si>
  <si>
    <t>[Trace31]</t>
  </si>
  <si>
    <t>[Cursors]</t>
  </si>
  <si>
    <t>CursorCount=3</t>
  </si>
  <si>
    <t>[Cursor01]</t>
  </si>
  <si>
    <t>Name=User</t>
  </si>
  <si>
    <t>CursorStyle=8</t>
  </si>
  <si>
    <t>PointStyle=11</t>
  </si>
  <si>
    <t>LineStyle=2</t>
  </si>
  <si>
    <t>LineWidth=1</t>
  </si>
  <si>
    <t>LockStyle=Free</t>
  </si>
  <si>
    <t>[Cursor02]</t>
  </si>
  <si>
    <t>Name="Peak Tracking"</t>
  </si>
  <si>
    <t>Color=16758784</t>
  </si>
  <si>
    <t>CursorStyle=5</t>
  </si>
  <si>
    <t>LineStyle=1</t>
  </si>
  <si>
    <t>[Cursor03]</t>
  </si>
  <si>
    <t>Name="Lock to Point"</t>
  </si>
  <si>
    <t>Color=16776960</t>
  </si>
  <si>
    <t>PointStyle=13</t>
  </si>
  <si>
    <t>[TrackOrder]</t>
  </si>
  <si>
    <t>Method="Fixed BW"</t>
  </si>
  <si>
    <t>RPMMin=0.000000</t>
  </si>
  <si>
    <t>Processing=None</t>
  </si>
  <si>
    <t>[G_INT]</t>
  </si>
  <si>
    <t>Gain=386.090000</t>
  </si>
  <si>
    <t>Label=ips</t>
  </si>
  <si>
    <t>[G_DINT]</t>
  </si>
  <si>
    <t>Gain=386090.000000</t>
  </si>
  <si>
    <t>Label=mil</t>
  </si>
  <si>
    <t>[G_DIFF]</t>
  </si>
  <si>
    <t>Gain=1.000000</t>
  </si>
  <si>
    <t>Label=G/s</t>
  </si>
  <si>
    <t>[ips_INT]</t>
  </si>
  <si>
    <t>Gain=1000.000000</t>
  </si>
  <si>
    <t>[ips_DINT]</t>
  </si>
  <si>
    <t>Label=inches*sec</t>
  </si>
  <si>
    <t>[ips_DIFF]</t>
  </si>
  <si>
    <t>Gain=0.002590</t>
  </si>
  <si>
    <t>Label=G</t>
  </si>
  <si>
    <t>[mil_INT]</t>
  </si>
  <si>
    <t>Label=mil*s</t>
  </si>
  <si>
    <t>[mil_DINT]</t>
  </si>
  <si>
    <t>Label=mil*s*s</t>
  </si>
  <si>
    <t>[mil_DIFF]</t>
  </si>
  <si>
    <t>Gain=0.001000</t>
  </si>
  <si>
    <t>[ActivePlots]</t>
  </si>
  <si>
    <t>[TitleFont]</t>
  </si>
  <si>
    <t>Name=Tahoma</t>
  </si>
  <si>
    <t>Size=13</t>
  </si>
  <si>
    <t>Bold=FALSE</t>
  </si>
  <si>
    <t>Italic=FALSE</t>
  </si>
  <si>
    <t>Color=50505</t>
  </si>
  <si>
    <t>[CursorFont]</t>
  </si>
  <si>
    <t>Name=Terminal</t>
  </si>
  <si>
    <t>Size=9</t>
  </si>
  <si>
    <t>[CampbellColors]</t>
  </si>
  <si>
    <t>AllClear=FF00</t>
  </si>
  <si>
    <t>Warning=FFC050</t>
  </si>
  <si>
    <t>Alarm=FF0000</t>
  </si>
  <si>
    <t>PlotAllClear=3F3F3F</t>
  </si>
  <si>
    <t>PlotWarning=FFFFC0</t>
  </si>
  <si>
    <t>PlotAlarm=FFD7D7</t>
  </si>
  <si>
    <t>OrderLines=FF0000</t>
  </si>
  <si>
    <t>FeatureLines=FF</t>
  </si>
  <si>
    <t>Axis=010101</t>
  </si>
  <si>
    <t>GridLines=010101</t>
  </si>
  <si>
    <t>Text=0</t>
  </si>
  <si>
    <t>Tach1=FF</t>
  </si>
  <si>
    <t>Tach2=FFFF00</t>
  </si>
  <si>
    <t>Tach3=3F3F</t>
  </si>
  <si>
    <t>PlotBGColor=C0C0C0</t>
  </si>
  <si>
    <t>Transparent=FBF4D9</t>
  </si>
  <si>
    <t>[SaveAxisOnPageChange]</t>
  </si>
  <si>
    <t>[PlotBGColors]</t>
  </si>
  <si>
    <t>PlotTrace=FFE0</t>
  </si>
  <si>
    <t>Axis=10101</t>
  </si>
  <si>
    <t>GridLines=10101</t>
  </si>
  <si>
    <t>PlotBGColor=1000006</t>
  </si>
  <si>
    <t>CursorUser=3F3F</t>
  </si>
  <si>
    <t>CursorTrack=3F003F</t>
  </si>
  <si>
    <t>[RPM_Trace01]</t>
  </si>
  <si>
    <t>[RPM_Trace02]</t>
  </si>
  <si>
    <t>[RPM_Trace03]</t>
  </si>
  <si>
    <t>[RPM_Trace04]</t>
  </si>
  <si>
    <t>[RPM_Trace05]</t>
  </si>
  <si>
    <t>[RPM_Trace06]</t>
  </si>
  <si>
    <t>[RPM_Trace07]</t>
  </si>
  <si>
    <t>[RPM_Trace08]</t>
  </si>
  <si>
    <t>[ResizeDisplay]</t>
  </si>
  <si>
    <t>ResizeDisplay=FALSE</t>
  </si>
  <si>
    <t>Dimensions=1280,1024</t>
  </si>
  <si>
    <t>[AuxDisplays]</t>
  </si>
  <si>
    <t>count=1</t>
  </si>
  <si>
    <t>key01=PROP_UNKNOWN</t>
  </si>
  <si>
    <t>Zero Spectral Bins:</t>
  </si>
  <si>
    <t>#</t>
  </si>
  <si>
    <t>TRUE</t>
  </si>
  <si>
    <t>MS Sans Serif</t>
  </si>
  <si>
    <t>Courier</t>
  </si>
  <si>
    <t>Lucida Console</t>
  </si>
  <si>
    <t>Terminal</t>
  </si>
  <si>
    <t>Arial</t>
  </si>
  <si>
    <t>Arial Narrow</t>
  </si>
  <si>
    <t>Courier New</t>
  </si>
  <si>
    <t>FONTS</t>
  </si>
  <si>
    <t>Time</t>
  </si>
  <si>
    <t>1 Rev</t>
  </si>
  <si>
    <t>LoRes</t>
  </si>
  <si>
    <t>HiRes</t>
  </si>
  <si>
    <t>ZModLoTime</t>
  </si>
  <si>
    <t>ZModHiTime</t>
  </si>
  <si>
    <t>ZModLoRPM</t>
  </si>
  <si>
    <t>ZModHiRPM</t>
  </si>
  <si>
    <t>CampbellLo</t>
  </si>
  <si>
    <t>CampbellHi</t>
  </si>
  <si>
    <t>OrderTrackLo</t>
  </si>
  <si>
    <t>OrderTrackHi</t>
  </si>
  <si>
    <t>Lissajous</t>
  </si>
  <si>
    <t>NthOctave</t>
  </si>
  <si>
    <t>Waterfall</t>
  </si>
  <si>
    <t>Wfall-RPM</t>
  </si>
  <si>
    <t>Bode</t>
  </si>
  <si>
    <t>StripChart</t>
  </si>
  <si>
    <t>FeatureTrack</t>
  </si>
  <si>
    <t>TF</t>
  </si>
  <si>
    <t xml:space="preserve">palette="256 Color" </t>
  </si>
  <si>
    <t>Image Export Path:</t>
  </si>
  <si>
    <t>Data Export Path:</t>
  </si>
  <si>
    <t>BMP</t>
  </si>
  <si>
    <t>Export Root Directory:</t>
  </si>
  <si>
    <t>OrderBins=1</t>
  </si>
  <si>
    <t>SpeedBins=512</t>
  </si>
  <si>
    <t>RPMMax=10000.000000</t>
  </si>
  <si>
    <t>Orders=1,2,3,60</t>
  </si>
  <si>
    <t>RefTach=1</t>
  </si>
  <si>
    <t>verbose=0</t>
  </si>
  <si>
    <t>port=8000</t>
  </si>
  <si>
    <t>port=6301</t>
  </si>
  <si>
    <t>port=6401</t>
  </si>
  <si>
    <t>mask=A001:FFFF</t>
  </si>
  <si>
    <t>LooseFit=TRUE</t>
  </si>
  <si>
    <t>127.0.0.1</t>
  </si>
  <si>
    <t>PageIndex=1</t>
  </si>
  <si>
    <t xml:space="preserve">HistoryChannels=1,2,3,4,5,6,7,8,9,10,11,12,13,14,15,16,17,18,19,20,21,22,23,24,25,26,27,28,29,30,31,32,33,34,35,36,37,38,39,40,41,42,43,44,45,46,47,48,49,50,51,52,53,54,55,56,57,58,59,60,61,62,63,64 </t>
  </si>
  <si>
    <t>DFlex1000Port=57005</t>
  </si>
  <si>
    <t>APPLICATION CONFIGURATION</t>
  </si>
  <si>
    <t>---------------------------------------------------------------------------</t>
  </si>
  <si>
    <t>The Multiscope Display application reads configuration data from a private</t>
  </si>
  <si>
    <t>configuration file, "Multiscope Display.ini", at startup.  The configuration</t>
  </si>
  <si>
    <t>entries are described below.</t>
  </si>
  <si>
    <t>The [Multiscope Display] Configuration Section</t>
  </si>
  <si>
    <t>EnableAutoScales = [TRUE|FALSE]</t>
  </si>
  <si>
    <t>This boolean value specifies the autoscaling of plots. The default is FALSE.</t>
  </si>
  <si>
    <t>HideRootWindow = [TRUE|FALSE]</t>
  </si>
  <si>
    <t>This boolean value is used to hide the LabVIEW run-time engine root</t>
  </si>
  <si>
    <t>window. The default value is FALSE, even though by default this</t>
  </si>
  <si>
    <t>configuration section is not created in the ini file.</t>
  </si>
  <si>
    <t>scrollGraphCursor = [TRUE|FALSE]</t>
  </si>
  <si>
    <t>This boolean value is used to hide the LabVIEW run-time engine to allows</t>
  </si>
  <si>
    <t>cursors to be dragged outside the plot area. The default value is FALSE.</t>
  </si>
  <si>
    <t>blinkSpeed = 125</t>
  </si>
  <si>
    <t>blinkFG = 16777216</t>
  </si>
  <si>
    <t>blinkBG = 16113331</t>
  </si>
  <si>
    <t>These boolean values configure the blink parameters for all controls.</t>
  </si>
  <si>
    <t>Speed is in Miliseconds. The colors are decimal representation of 0xRRGGBB</t>
  </si>
  <si>
    <t>numerics. The value 0x1000000 equates to transparent.</t>
  </si>
  <si>
    <t>The [SYSTEM] Configuration Section</t>
  </si>
  <si>
    <t>User = STRING "Operator"</t>
  </si>
  <si>
    <t>(not Implemented) This string identifies the default user. When active,</t>
  </si>
  <si>
    <t>Authman.dat contains the password for the user.</t>
  </si>
  <si>
    <t>Users are restricted to defined access levels.</t>
  </si>
  <si>
    <t>MsgAckTimeOut = NNN</t>
  </si>
  <si>
    <t>This unsigned integer specifies the message ack timeout when</t>
  </si>
  <si>
    <t>Communicating with the System Executive. The value is expressed in</t>
  </si>
  <si>
    <t>milliseconds. The default is 5000.</t>
  </si>
  <si>
    <t>OnExitUpdate = [TRUE|FALSE]</t>
  </si>
  <si>
    <t>This boolean value controls the update of multiscope settings on exit.</t>
  </si>
  <si>
    <t>The default is FALSE.</t>
  </si>
  <si>
    <t>LargeTimeDisplay = [TRUE|FALSE]</t>
  </si>
  <si>
    <t>This boolean value controls the size of time display. The default is FALSE.</t>
  </si>
  <si>
    <t>SpectralScaling = ["Test Definition"|"Local"]</t>
  </si>
  <si>
    <t>This enumerated string parameter specifies the method for control</t>
  </si>
  <si>
    <t>of the spectral scaling. The default is "Local".</t>
  </si>
  <si>
    <t>ShaftRevs = NNN</t>
  </si>
  <si>
    <t>This unsigned integer specifies the number of shaft revolutions.</t>
  </si>
  <si>
    <t>The default is 1.</t>
  </si>
  <si>
    <t>This string parameter specifies the file path for storing exported data files.</t>
  </si>
  <si>
    <t>The default path is c:\Data.</t>
  </si>
  <si>
    <t>ImageFilePath = PATH</t>
  </si>
  <si>
    <t>This string parameter specifies the file path for storing image files.</t>
  </si>
  <si>
    <t>The default path is c:\Images.</t>
  </si>
  <si>
    <t>ImageFileFormat = [JPG|BMP|PNG]</t>
  </si>
  <si>
    <t>This enumerated string parameter specifies the type of the image file</t>
  </si>
  <si>
    <t>compression. The default value is JPG.</t>
  </si>
  <si>
    <t>LinkOriginX = NNN</t>
  </si>
  <si>
    <t>This integer specifies the x coordinate of multiscope window</t>
  </si>
  <si>
    <t>origin in pixels at startup. The default is 15.</t>
  </si>
  <si>
    <t>LinkOriginY = NNN</t>
  </si>
  <si>
    <t>This integer specifies the y coordinate of multiscope window origin</t>
  </si>
  <si>
    <t>in pixels at startup. The value y = 0 is at the top of the window.</t>
  </si>
  <si>
    <t>Positive y values will lower the window, while negative raise it.</t>
  </si>
  <si>
    <t>The default is 39.</t>
  </si>
  <si>
    <t>UpdatePlotSetOnAllChanges = [TRUE|FALSE]</t>
  </si>
  <si>
    <t>This boolean value specifies whether any changes to the current plot</t>
  </si>
  <si>
    <t>settings are retained during SE transitions between Monitor, Recording</t>
  </si>
  <si>
    <t>and Idle modes. The default value is FALSE.</t>
  </si>
  <si>
    <t>InhibitPkHoldOnLRScopes = [TRUE|FALSE]</t>
  </si>
  <si>
    <t>This boolean value specifies whether Peak Hold trace is available to user</t>
  </si>
  <si>
    <t>on Low Resolution Spectral Plots. The default value is FALSE.</t>
  </si>
  <si>
    <t>PaceDisplays = [TRUE|FALSE]</t>
  </si>
  <si>
    <t>This boolean value specifies whether displays should be forced to take</t>
  </si>
  <si>
    <t>data at defined sample intervals intervals. The recommended value is FALSE.</t>
  </si>
  <si>
    <t>PaceContinuous = [TRUE|FALSE]</t>
  </si>
  <si>
    <t>This value is used to force displays to capture each data sample until real time is</t>
  </si>
  <si>
    <t>lost. At higher sampling rates continuous display is unachievable.The</t>
  </si>
  <si>
    <t>recommended value is FALSE.</t>
  </si>
  <si>
    <t>IndicateSynchLoss = [TRUE|FALSE]</t>
  </si>
  <si>
    <t>This control is used in conjunction with PaceContinuous to provide an indication</t>
  </si>
  <si>
    <t>of data loss at the display. That this indication is not related to acquisition data</t>
  </si>
  <si>
    <t>loss.</t>
  </si>
  <si>
    <t>LooseFit = [TRUE|FALSE]</t>
  </si>
  <si>
    <t>This Boolean value specifies weather autoscale should fit to the exact value or</t>
  </si>
  <si>
    <t>the nearest reasonable value. Also, when LooseFit is FALSE, the zero line</t>
  </si>
  <si>
    <t>may not be drawn or labeled exactly zero. The default value is FALSE.</t>
  </si>
  <si>
    <t>HidePeakStatistic = [TRUE|FALSE]</t>
  </si>
  <si>
    <t>When false, the peak statistic is rendered on the upper right indicator of each</t>
  </si>
  <si>
    <t>scope. The default value is FALSE.</t>
  </si>
  <si>
    <t>BodeRefLead = [TRUE|FALSE]</t>
  </si>
  <si>
    <t>Allows for changing the phase reference on the Bode plot.</t>
  </si>
  <si>
    <t>The default value is FALSE.</t>
  </si>
  <si>
    <t>InhibitLRPeakHold = [TRUE|FALSE]</t>
  </si>
  <si>
    <t>This Boolean determines of Low Resolution scopes should not display the</t>
  </si>
  <si>
    <t>peak-hold trace. The default value is FALSE.</t>
  </si>
  <si>
    <t>ScrollCampbell = [TRUE|FALSE]</t>
  </si>
  <si>
    <t>This Boolean determines if the Campbell versus time plot should scroll. When not</t>
  </si>
  <si>
    <t>scrolling the data range in continuously increased to accommodate all time from</t>
  </si>
  <si>
    <t>the start of acquisition. The default value is FALSE.</t>
  </si>
  <si>
    <t>SuppressErrors = [TRUE|FALSE]</t>
  </si>
  <si>
    <t>When SuppressErrors is enabled, acquisition system error broadcasts are</t>
  </si>
  <si>
    <t>suppressed . The default value is FALSE.</t>
  </si>
  <si>
    <t>Verbose = [TRUE|FALSE]</t>
  </si>
  <si>
    <t>When Verbose is enabled, the title bar shows the current display and test</t>
  </si>
  <si>
    <t>definition name. The default value is FALSE.</t>
  </si>
  <si>
    <t>EnableSpecIsRPM = [TRUE|FALSE]</t>
  </si>
  <si>
    <t>When enabled, the spectral displays are cycles per minute. Otherwise spectral</t>
  </si>
  <si>
    <t>axis are cycles per second (Hz). The default value is FALSE.</t>
  </si>
  <si>
    <t>The [DisplayConfig] Configuration Section</t>
  </si>
  <si>
    <t>UserWorkspace = RELATIVE-PATH</t>
  </si>
  <si>
    <t>This string specifies the path to the UserWorkspace settings. The path is</t>
  </si>
  <si>
    <t>DisplayDefinitionsFile = STRING</t>
  </si>
  <si>
    <t>This string parameter specifies the filename for display definition file.</t>
  </si>
  <si>
    <t>The file extention is excluded from this parameter. The default filename</t>
  </si>
  <si>
    <t>is 'Default'.</t>
  </si>
  <si>
    <t xml:space="preserve">ControlIP = network IP address. </t>
  </si>
  <si>
    <t>This entry may be in dot notation or machine name. When enabled with a valid IP</t>
  </si>
  <si>
    <t>Address, the system will prompt the user to select a target address or accept the</t>
  </si>
  <si>
    <t>given address. This permits the MSD to connect to any available acquisition</t>
  </si>
  <si>
    <t>target machine. Errors will occur if the acquisition test definition version is</t>
  </si>
  <si>
    <t>incompatible with the local LV_TDEF.DLL. If the target is acquisition data</t>
  </si>
  <si>
    <t>source is not directly connected via fiber channel then the DSPCon Remote Data</t>
  </si>
  <si>
    <t>Acquisition Service must be enabled on the target machine.</t>
  </si>
  <si>
    <t>The default value is 255.255.255.255 (invalid).</t>
  </si>
  <si>
    <t>DigitalCursorDisplays = FILEPATH</t>
  </si>
  <si>
    <t>This entry provides the path to the cursor configuration file.</t>
  </si>
  <si>
    <t>The default path is “./CursorDisplays.csv”.</t>
  </si>
  <si>
    <t>PrintProperties = FILEPATH</t>
  </si>
  <si>
    <t>This entry provides the path to the print configuration file.</t>
  </si>
  <si>
    <t>The default path is “./print.xls”.</t>
  </si>
  <si>
    <t>ExportHeader= FILEPATH</t>
  </si>
  <si>
    <t>This entry provides the path to the export configuration file.</t>
  </si>
  <si>
    <t>The default path is “./ExportHeader.xls”.</t>
  </si>
  <si>
    <t>The [Settings] Configuration Section</t>
  </si>
  <si>
    <t>OrderUpdateMethod = [Newest | Largest]</t>
  </si>
  <si>
    <t>This enumerated value determines the newest or largest value should be retained</t>
  </si>
  <si>
    <t>when overlapping data is being added to the scope. The default value is Newest.</t>
  </si>
  <si>
    <t>CampbellUpdateMethod = [Newest | Largest]</t>
  </si>
  <si>
    <t>when the number of icons is exceeded and new icons are added to the scope.</t>
  </si>
  <si>
    <t>The default value is Newest.</t>
  </si>
  <si>
    <t>FeatureTrackUpdateMethod = [Newest | Largest]</t>
  </si>
  <si>
    <t>FeatureTrackHistory = NNNN</t>
  </si>
  <si>
    <t>This integer specifies the number of data frames that should be retained</t>
  </si>
  <si>
    <t>and rendered. Data frames timing is specified in the test definition. The value</t>
  </si>
  <si>
    <t>generally range from 2 to 10 per second. The default value is 1024.</t>
  </si>
  <si>
    <t>CampbellIconsCenter = [TRUE|FALSE]</t>
  </si>
  <si>
    <t>When true, all Campbell icons will be centered about the speed and frequency.</t>
  </si>
  <si>
    <t>When false, only Pk-Pk values will be centered on the frequency. Others will be</t>
  </si>
  <si>
    <t>grounded on the frequency. The default value is FALSE.</t>
  </si>
  <si>
    <t>YScaleFormat = STRING</t>
  </si>
  <si>
    <t>XScaleFormat = STRING</t>
  </si>
  <si>
    <t>This string defines the scale formatting and precision. The format is</t>
  </si>
  <si>
    <t>“%[_][int][format]. When _ is present then value is digits of precision otherwise it</t>
  </si>
  <si>
    <t>is significant digits. “int” refers to the decimal number of digits. “format” refers to</t>
  </si>
  <si>
    <t>the rendering format where : f = float; p=SI notation; e=exponential notation.</t>
  </si>
  <si>
    <t>The default value is %_4f.</t>
  </si>
  <si>
    <t>AutoScaleXandY = [TRUE|FALSE]</t>
  </si>
  <si>
    <t>Indicates that auto scaling will be performed on both axis where permitted. The</t>
  </si>
  <si>
    <t>default</t>
  </si>
  <si>
    <t>value is FALSE.</t>
  </si>
  <si>
    <t>FullScaleAmpLimit = [Local|Full Scale|Test Defintion]</t>
  </si>
  <si>
    <t>Determines the limits when applying Full Scale limits. Full Scale takes the limits</t>
  </si>
  <si>
    <t>Default value is Local.</t>
  </si>
  <si>
    <t>ZeroLRSpecBins = NNNN</t>
  </si>
  <si>
    <t>ZeroHRSpecBins = NNNN</t>
  </si>
  <si>
    <t>Indicates the number of bins to be zeroed when rendered, which has the effect of</t>
  </si>
  <si>
    <t>Low pass filtering the signal. It is useful when performing spectral integration.</t>
  </si>
  <si>
    <t>The default value is Zero</t>
  </si>
  <si>
    <t>VLineColor = 0xRRGGBB</t>
  </si>
  <si>
    <t>HLineColor = 0xRRGGBB</t>
  </si>
  <si>
    <t>This is the color to be used when rendering scope grid lines.</t>
  </si>
  <si>
    <t>The default color is B3B3B3 (gray).</t>
  </si>
  <si>
    <t>ZModUpdateMode = [Scroll|Scope|Sweep]</t>
  </si>
  <si>
    <t>ChartUpdateMode = [Scroll|Scope|Sweep]</t>
  </si>
  <si>
    <t>This enumerated string specifies the plot update mode for the given type.</t>
  </si>
  <si>
    <t>The default is Sweep.</t>
  </si>
  <si>
    <t>ZModPeakXRange = NNN</t>
  </si>
  <si>
    <t>ZModPeakYRange = NNN</t>
  </si>
  <si>
    <t>This unsigned integer specifies the ZMod plot peak range.</t>
  </si>
  <si>
    <t>The default is 3.</t>
  </si>
  <si>
    <t>TachSelect = NNN</t>
  </si>
  <si>
    <t>This unsigned integer specifies the selected tach. The default is 0.</t>
  </si>
  <si>
    <t>PageIndex = NNN</t>
  </si>
  <si>
    <t>This unsigned integer specifies the page index. The default is 0.</t>
  </si>
  <si>
    <t>PlotFGColor = NNN</t>
  </si>
  <si>
    <t>This unsigned integer specifies the plot foreground color. This is the decimal</t>
  </si>
  <si>
    <t>equivalent of the hex value 0xRRGGBB.</t>
  </si>
  <si>
    <t>The default is 65504.</t>
  </si>
  <si>
    <t>PlotBGColor = NNN</t>
  </si>
  <si>
    <t>This unsigned integer specifies the plot background color. This is the decimal</t>
  </si>
  <si>
    <t>equivalent of the hex value 0xRRGGBB..</t>
  </si>
  <si>
    <t>The default is 2631720.</t>
  </si>
  <si>
    <t>palette = [256 Color|Grayscale]</t>
  </si>
  <si>
    <t>This enumerated string specifies the palette type. The default is 256 Color.</t>
  </si>
  <si>
    <t>HRZoomCenter = NNN</t>
  </si>
  <si>
    <t>This unsined integer specifies the horizontal zoom center.</t>
  </si>
  <si>
    <t>The default is 250.</t>
  </si>
  <si>
    <t>HRZoomBW = NNN</t>
  </si>
  <si>
    <t>This unsigned integer specifies the horizontal zoom bandwidth.</t>
  </si>
  <si>
    <t>The default is 500.</t>
  </si>
  <si>
    <t>CampbellTilt = NNN</t>
  </si>
  <si>
    <t>This double real value specifies the tilt of the Campbell line.</t>
  </si>
  <si>
    <t>The default is 0.</t>
  </si>
  <si>
    <t>CampbellLineEdges = [TRUE|FALSE]</t>
  </si>
  <si>
    <t>This boolean value enables horizontal edges on the Campbell lines.</t>
  </si>
  <si>
    <t>AllowReplay = [TRUE|FALSE]</t>
  </si>
  <si>
    <t>This boolean value allows the replay operation. The default is TRUE.</t>
  </si>
  <si>
    <t>YTopOnDecade = [TRUE|FALSE]</t>
  </si>
  <si>
    <t>This boolean value determines if the log display will be on decade.</t>
  </si>
  <si>
    <t>The default is TRUE.</t>
  </si>
  <si>
    <t>YScaleDynamicRange = NNN</t>
  </si>
  <si>
    <t>This double real value sets the plot y-scale dynamic range.</t>
  </si>
  <si>
    <t>The default is 60.</t>
  </si>
  <si>
    <t>The [Waterfall] Configuration Section</t>
  </si>
  <si>
    <t xml:space="preserve"> </t>
  </si>
  <si>
    <t>FillStyle = [cwFlat|cwSmooth]</t>
  </si>
  <si>
    <t>This enumerated string specifies the waterfall fill style.</t>
  </si>
  <si>
    <t>The default is cwSmooth.</t>
  </si>
  <si>
    <t>FillColor = NNN</t>
  </si>
  <si>
    <t>This unsigned integer specifies the fill color for waterfall.</t>
  </si>
  <si>
    <t>The default is 0xff0000 (red).</t>
  </si>
  <si>
    <r>
      <t>ColorMapStyle =</t>
    </r>
    <r>
      <rPr>
        <sz val="12"/>
        <rFont val="Times New Roman"/>
        <family val="1"/>
      </rPr>
      <t xml:space="preserve"> [cwNone|cwShaded|cwColorSpectrum|cwGrayScale|cwCustom]</t>
    </r>
  </si>
  <si>
    <t>This enumerated string specifies the waterfall color map style.</t>
  </si>
  <si>
    <t>The default is cwColorSpectrum.</t>
  </si>
  <si>
    <t>This unsigned hexadecimal integer specifies the waterfall trace color.</t>
  </si>
  <si>
    <t>The default is 0xD9F4FB.</t>
  </si>
  <si>
    <t>PlotAreaColor = NNN</t>
  </si>
  <si>
    <t>This unsigned integer specifies the popup display plot area color in hex</t>
  </si>
  <si>
    <t>format. The default is 0xD9F4FB.</t>
  </si>
  <si>
    <t>LineColor = NNN</t>
  </si>
  <si>
    <t>This unsigned integer specifies the popup waterfall line.</t>
  </si>
  <si>
    <t>The default is 0xe0e0.</t>
  </si>
  <si>
    <t>The [TitleFont] Configuration Section</t>
  </si>
  <si>
    <t>Name = FONT_NAME</t>
  </si>
  <si>
    <t>This string parameter specifies the valid font name installed on the</t>
  </si>
  <si>
    <t>host PC. The default is Tahoma.</t>
  </si>
  <si>
    <t>Size = NNN</t>
  </si>
  <si>
    <t>This unsigned integer specifies the title font size. The default is 13.</t>
  </si>
  <si>
    <t>Bold = [TRUE|FALSE]</t>
  </si>
  <si>
    <t>This boolean value controls the bold attribute of the title font.</t>
  </si>
  <si>
    <t>Italic = [TRUE|FALSE]</t>
  </si>
  <si>
    <t>This boolean value controls the italic attribute of the title font.</t>
  </si>
  <si>
    <t>Color = NNN</t>
  </si>
  <si>
    <t>This unsigned integer specifies the color of the title font.</t>
  </si>
  <si>
    <t>The default is 0xFFFFFF.</t>
  </si>
  <si>
    <t>The [AuxDisplays] configuration Section</t>
  </si>
  <si>
    <t>count = NNN</t>
  </si>
  <si>
    <t>This unsigned integer specifies the number of auxiliary displays</t>
  </si>
  <si>
    <t>are to be used to display the sequence timer or Tdef Header values</t>
  </si>
  <si>
    <t>"count" plus active tachometers plus time display cannot exceed 12.</t>
  </si>
  <si>
    <t>The default "count" is 0.</t>
  </si>
  <si>
    <t>keyNN = Keyword</t>
  </si>
  <si>
    <t>This keyword is rendered in tachometer indicator in lieu of tach speed.</t>
  </si>
  <si>
    <t>Keywords may be combined to a single location. In this case, the values are</t>
  </si>
  <si>
    <t>comma delimited. Use the value "timer" if sequence number for an auxiliary brick</t>
  </si>
  <si>
    <t>is to be shown</t>
  </si>
  <si>
    <t>The [Debug] Configuration Section</t>
  </si>
  <si>
    <t>debug = [TRUE|FALSE]</t>
  </si>
  <si>
    <t>This boolean value controls the application debug mode. When operated in debug</t>
  </si>
  <si>
    <t>Mode the integrity of rendered data is not guaranteed. It is not recommended that</t>
  </si>
  <si>
    <t>the unit be operated in debug mode except by the development staff.</t>
  </si>
  <si>
    <t>The following configuration sections have identical keywords.</t>
  </si>
  <si>
    <t>The [G_DIFF]Configuration Section</t>
  </si>
  <si>
    <t>The  [G_INT] Configuration Section</t>
  </si>
  <si>
    <t>The [G_DINT]Configuration Section</t>
  </si>
  <si>
    <t>Gain = value</t>
  </si>
  <si>
    <t>This floating point value defines the gain to be applied to the integrated or</t>
  </si>
  <si>
    <t>differentiated result to achieve the units given by the Label string. The default</t>
  </si>
  <si>
    <t>value is 1.</t>
  </si>
  <si>
    <t>Label=String</t>
  </si>
  <si>
    <t>This string is the units to be displayed for the integrated or</t>
  </si>
  <si>
    <t>differentiated result. The default value is EU*S, EU/s, and EU/S/S respectively.</t>
  </si>
  <si>
    <t>The [ActivePlots] Configuration Section</t>
  </si>
  <si>
    <t>PlotType = [TRUE/FALSE]</t>
  </si>
  <si>
    <t>Defines if the plot type should be rendered</t>
  </si>
  <si>
    <t>Example: Time=TRUE; the default value is FALSE</t>
  </si>
  <si>
    <t>The [CampbellColors] Configuration Section</t>
  </si>
  <si>
    <t>Keyword = COLOR</t>
  </si>
  <si>
    <t>Where colors are hex RRGGBB values and 0x1000000 is transparent</t>
  </si>
  <si>
    <t>The default values are:</t>
  </si>
  <si>
    <t>Keyword</t>
  </si>
  <si>
    <t>Default Value</t>
  </si>
  <si>
    <t>Parameter</t>
  </si>
  <si>
    <t>OrderLines</t>
  </si>
  <si>
    <t xml:space="preserve">FF0000 </t>
  </si>
  <si>
    <t>Order Line Trace</t>
  </si>
  <si>
    <t xml:space="preserve">FeatureLines </t>
  </si>
  <si>
    <t xml:space="preserve">FF </t>
  </si>
  <si>
    <t>Feature Line Trace</t>
  </si>
  <si>
    <t xml:space="preserve">Alarm </t>
  </si>
  <si>
    <t>Alarm Trace</t>
  </si>
  <si>
    <t>Warning</t>
  </si>
  <si>
    <t xml:space="preserve">FFC050 </t>
  </si>
  <si>
    <t>Warning Trace</t>
  </si>
  <si>
    <t>AllClear</t>
  </si>
  <si>
    <t xml:space="preserve">FF00 </t>
  </si>
  <si>
    <t>In Range Trace</t>
  </si>
  <si>
    <t xml:space="preserve">PlotAllClear </t>
  </si>
  <si>
    <t xml:space="preserve">3F3F3F </t>
  </si>
  <si>
    <t>Background color for no alarm</t>
  </si>
  <si>
    <t>PlotWarning</t>
  </si>
  <si>
    <t>FFFFC0</t>
  </si>
  <si>
    <t>Background color for warning</t>
  </si>
  <si>
    <t>PlotAlarm</t>
  </si>
  <si>
    <t>FFD7D7</t>
  </si>
  <si>
    <t>Background color for alarm</t>
  </si>
  <si>
    <t>The [SaveAxisOnPageChange] Configuration Section</t>
  </si>
  <si>
    <t>Defines if the plot axis settings should be modified on page changes</t>
  </si>
  <si>
    <t>Decimal Number</t>
  </si>
  <si>
    <t>Hex</t>
  </si>
  <si>
    <t>RR</t>
  </si>
  <si>
    <t>GG</t>
  </si>
  <si>
    <t>BB</t>
  </si>
  <si>
    <t>T</t>
  </si>
  <si>
    <t>Count=2</t>
  </si>
  <si>
    <t>CampbellIgnoreFeatures=TRUE</t>
  </si>
  <si>
    <t>Select All</t>
  </si>
  <si>
    <t>Select</t>
  </si>
  <si>
    <t>Chan. Adv.</t>
  </si>
  <si>
    <t>Chan. Decr.</t>
  </si>
  <si>
    <t>Print</t>
  </si>
  <si>
    <t>Export</t>
  </si>
  <si>
    <t>Print+</t>
  </si>
  <si>
    <t>CsrTrack</t>
  </si>
  <si>
    <t>CsrLock</t>
  </si>
  <si>
    <t>CsrUser</t>
  </si>
  <si>
    <t>CsrHide</t>
  </si>
  <si>
    <t>AutoScale</t>
  </si>
  <si>
    <t>Reset</t>
  </si>
  <si>
    <t>ClrSpcHist</t>
  </si>
  <si>
    <t>PageUp</t>
  </si>
  <si>
    <t>PageDn</t>
  </si>
  <si>
    <t>Button Bar Tags:</t>
  </si>
  <si>
    <t>BB_PageUp</t>
  </si>
  <si>
    <t>BB_PageDn</t>
  </si>
  <si>
    <t>BB_Autoscale</t>
  </si>
  <si>
    <t>BB_ResetAllPeakHold</t>
  </si>
  <si>
    <t>BB_ClearSpectralHistory</t>
  </si>
  <si>
    <t>BB_ClearTemporalHistory</t>
  </si>
  <si>
    <t>BB_ClearAllHistory</t>
  </si>
  <si>
    <t>BB_Reset</t>
  </si>
  <si>
    <t>BB_FreqIsRPM</t>
  </si>
  <si>
    <t>BB_SelectAll</t>
  </si>
  <si>
    <t>BB_Select</t>
  </si>
  <si>
    <t>BB_ChanAdvance</t>
  </si>
  <si>
    <t>BB_ChanDecrement</t>
  </si>
  <si>
    <t>BB_CursorPeakTrack</t>
  </si>
  <si>
    <t>BB_CursorLock</t>
  </si>
  <si>
    <t>BB_CursorUser</t>
  </si>
  <si>
    <t>BB_CursorHide</t>
  </si>
  <si>
    <t>BB_Print</t>
  </si>
  <si>
    <t>BB_Export</t>
  </si>
  <si>
    <t>BB_Print&amp;Export</t>
  </si>
  <si>
    <t>BB_Configure</t>
  </si>
  <si>
    <t>BB_TF_Clear</t>
  </si>
  <si>
    <t>BB_TF_Run</t>
  </si>
  <si>
    <t>BB_TF_Pause</t>
  </si>
  <si>
    <t>BB_ResetGroupPeakHold</t>
  </si>
  <si>
    <t>Configure</t>
  </si>
  <si>
    <t>Clr T Hist</t>
  </si>
  <si>
    <t>Reset Pks</t>
  </si>
  <si>
    <t>Chan. Adv</t>
  </si>
  <si>
    <t>(original)</t>
  </si>
  <si>
    <t>(New)</t>
  </si>
  <si>
    <t>Mode</t>
  </si>
  <si>
    <t>All</t>
  </si>
  <si>
    <t>Group</t>
  </si>
  <si>
    <t>Function</t>
  </si>
  <si>
    <t>ClrSpcHst</t>
  </si>
  <si>
    <t>ClrTmHst</t>
  </si>
  <si>
    <t>ResetPks</t>
  </si>
  <si>
    <t>Config</t>
  </si>
  <si>
    <t>Chan -</t>
  </si>
  <si>
    <t>Chan +</t>
  </si>
  <si>
    <t>Pg Up</t>
  </si>
  <si>
    <t>Pg Dn</t>
  </si>
  <si>
    <t>Num</t>
  </si>
  <si>
    <t>Space</t>
  </si>
  <si>
    <t>Label</t>
  </si>
  <si>
    <t>ExportFilePath = PATH</t>
  </si>
  <si>
    <t>?</t>
  </si>
  <si>
    <t>from the A/D range. Otherwise the limits are as determined by the Local Settings.</t>
  </si>
  <si>
    <t>C:\Data</t>
  </si>
  <si>
    <t>Plot Background</t>
  </si>
  <si>
    <t>Line Color</t>
  </si>
  <si>
    <t>Color Set</t>
  </si>
  <si>
    <t>RGB Bk</t>
  </si>
  <si>
    <t>RGB H</t>
  </si>
  <si>
    <t>RGB V</t>
  </si>
  <si>
    <t>Army</t>
  </si>
  <si>
    <t>CRT</t>
  </si>
  <si>
    <t>Arctic</t>
  </si>
  <si>
    <t>255 255 255</t>
  </si>
  <si>
    <t>164 164 164</t>
  </si>
  <si>
    <t>018 161 255</t>
  </si>
  <si>
    <t>063 064 064</t>
  </si>
  <si>
    <t>079 114 075</t>
  </si>
  <si>
    <t>239 239 239</t>
  </si>
  <si>
    <t>colorHistoryItemA=00FFE02A</t>
  </si>
  <si>
    <t>colorHistoryItemB=00005B05</t>
  </si>
  <si>
    <t>colorHistoryItemC=0000423D</t>
  </si>
  <si>
    <t>colorHistoryItemD=00FF0040</t>
  </si>
  <si>
    <t>Lynn</t>
  </si>
  <si>
    <t>PlotFGColor=16769066</t>
  </si>
  <si>
    <t>PlotBGColor=16957</t>
  </si>
  <si>
    <t>ZeroMarkWidth=0</t>
  </si>
  <si>
    <t>HLineColor=B2B2B2</t>
  </si>
  <si>
    <t>VLineColor=B3B3B3</t>
  </si>
  <si>
    <t>000 042 03D</t>
  </si>
  <si>
    <t>179 179 179</t>
  </si>
  <si>
    <t>Number of Tachs to show:</t>
  </si>
  <si>
    <t>Defaults</t>
  </si>
  <si>
    <t>Transparent Ref</t>
  </si>
  <si>
    <t>Trace #</t>
  </si>
  <si>
    <t>Color helper</t>
  </si>
  <si>
    <t>Allow Lo-res plots</t>
  </si>
  <si>
    <t>Basic Black</t>
  </si>
  <si>
    <t>PlotFGColor=40831</t>
  </si>
  <si>
    <t>01=BB_Autoscale,0.2,AutoScale,AutoScale</t>
  </si>
  <si>
    <t>02=BB_Reset,1.2,Reset,Reset</t>
  </si>
  <si>
    <t>03=BB_SelectAll,2.4,Select All,Select All</t>
  </si>
  <si>
    <t>04=BB_Select,3.4,Select,Select</t>
  </si>
  <si>
    <t>05=BB_ClearSpectralHistory,4.6,ClrSpcHst,ClrSpcHst</t>
  </si>
  <si>
    <t>06=BB_ClearTemporalHistory,5.6,ClrTmHst,ClrTmHst</t>
  </si>
  <si>
    <t>07=BB_ResetAllPeakHold,6.6,ResetPks,ResetPks</t>
  </si>
  <si>
    <t>12=BB_Configure,12,Config,Config</t>
  </si>
  <si>
    <t>13=BB_ChanAdvance,13,Chan +,Chan +</t>
  </si>
  <si>
    <t>14=BB_ChanDecrement,14,Chan -,Chan -</t>
  </si>
  <si>
    <t>15=BB_PageUp,15.2,Pg Up,Pg Up</t>
  </si>
  <si>
    <t>16=BB_PageDn,16.2,Pg Dn,Pg Dn</t>
  </si>
  <si>
    <t>relative to the application path. The value for Evendale is "C:\". The default value is 'default'.</t>
  </si>
  <si>
    <t>new</t>
  </si>
  <si>
    <t>200 200 200</t>
  </si>
  <si>
    <t>100 100 100</t>
  </si>
  <si>
    <t>Notes:</t>
  </si>
  <si>
    <r>
      <t>The folder where the DSPCon software is installed on the hard drive of the CMW must be</t>
    </r>
    <r>
      <rPr>
        <b/>
        <sz val="11"/>
        <color rgb="FF002060"/>
        <rFont val="Calibri"/>
        <family val="2"/>
      </rPr>
      <t xml:space="preserve">:  </t>
    </r>
  </si>
  <si>
    <t>C:\Program Files (x86)\DSPCon Piranha-III CMW</t>
  </si>
  <si>
    <r>
      <t xml:space="preserve">The folder: </t>
    </r>
    <r>
      <rPr>
        <b/>
        <sz val="12"/>
        <color rgb="FF002060"/>
        <rFont val="Calibri"/>
        <family val="2"/>
      </rPr>
      <t>C:\Data</t>
    </r>
    <r>
      <rPr>
        <sz val="12"/>
        <color rgb="FF002060"/>
        <rFont val="Calibri"/>
        <family val="2"/>
      </rPr>
      <t xml:space="preserve"> </t>
    </r>
    <r>
      <rPr>
        <sz val="11"/>
        <rFont val="Calibri"/>
        <family val="2"/>
      </rPr>
      <t>must exist and not be restricted from read/write.</t>
    </r>
  </si>
  <si>
    <r>
      <t xml:space="preserve">The folder: </t>
    </r>
    <r>
      <rPr>
        <b/>
        <sz val="12"/>
        <color rgb="FF002060"/>
        <rFont val="Calibri"/>
        <family val="2"/>
      </rPr>
      <t>C:\Users\Public\Desktop\Configuration\</t>
    </r>
    <r>
      <rPr>
        <sz val="12"/>
        <color rgb="FF002060"/>
        <rFont val="Calibri"/>
        <family val="2"/>
      </rPr>
      <t xml:space="preserve"> </t>
    </r>
    <r>
      <rPr>
        <sz val="11"/>
        <rFont val="Calibri"/>
        <family val="2"/>
      </rPr>
      <t>must be created.   It is not a normal folder on the desktop, it is the universal path for all user’s desktops.</t>
    </r>
  </si>
  <si>
    <t xml:space="preserve">The attached file must be saved in the above desktop folder.  </t>
  </si>
  <si>
    <t>Excel Macros must not be disabled.</t>
  </si>
  <si>
    <t>This was tested only on Windows7 64 bit OS and MS EXCEL 2010.</t>
  </si>
  <si>
    <t>3.59.168.4</t>
  </si>
  <si>
    <t>3.59.168.5</t>
  </si>
  <si>
    <t>3.59.168.27</t>
  </si>
  <si>
    <t>3.59.168.44</t>
  </si>
  <si>
    <t>3.59.168.40</t>
  </si>
  <si>
    <t>3.59.168.14</t>
  </si>
  <si>
    <t>3.59.168.6</t>
  </si>
  <si>
    <t>3.59.168.7</t>
  </si>
  <si>
    <t>3.59.168.10</t>
  </si>
  <si>
    <t>3.59.168.8</t>
  </si>
  <si>
    <t>3.59.168.9</t>
  </si>
  <si>
    <t>Initial Release:</t>
  </si>
  <si>
    <t>Part of DSPCon Release Windows7 update</t>
  </si>
  <si>
    <t>PaceDisplays=FALSE</t>
  </si>
  <si>
    <t>Changed POD Config worksheet name to: Display Config</t>
  </si>
  <si>
    <t>Change Log</t>
  </si>
  <si>
    <t>Plot Color Choice Selector</t>
  </si>
  <si>
    <t>Initial revision for the MultiScope Server Application</t>
  </si>
  <si>
    <t>Made several visual formatting changes and added help comments on some items.</t>
  </si>
  <si>
    <t>This Server</t>
  </si>
  <si>
    <t>None</t>
  </si>
  <si>
    <t>Began defining structure for server software auto-config, and code annotations.</t>
  </si>
  <si>
    <t>F:\DSPCon Software\6xMSD Configuration\Program Files (x86)</t>
  </si>
  <si>
    <t>Image location:</t>
  </si>
  <si>
    <t>C:\Program Files (x86)\MSD1</t>
  </si>
  <si>
    <t>C:\Program Files (x86)\MSD2</t>
  </si>
  <si>
    <t>C:\Program Files (x86)\MSD3</t>
  </si>
  <si>
    <t>C:\Program Files (x86)\MSD4</t>
  </si>
  <si>
    <t>C:\Program Files (x86)\MSD5</t>
  </si>
  <si>
    <t>C:\Program Files (x86)\MSD6</t>
  </si>
  <si>
    <t>Program File Locations:</t>
  </si>
  <si>
    <t>User Mapping:</t>
  </si>
  <si>
    <t>Engineer1</t>
  </si>
  <si>
    <t>Engineer2</t>
  </si>
  <si>
    <t>Engineer3</t>
  </si>
  <si>
    <t>Engineer4</t>
  </si>
  <si>
    <t>Engineer5</t>
  </si>
  <si>
    <t>Engineer6</t>
  </si>
  <si>
    <t>User Passwords:</t>
  </si>
  <si>
    <t>Passw0rd1</t>
  </si>
  <si>
    <t>Passw0rd2</t>
  </si>
  <si>
    <t>Passw0rd3</t>
  </si>
  <si>
    <t>Passw0rd4</t>
  </si>
  <si>
    <t>Passw0rd5</t>
  </si>
  <si>
    <t>Passw0rd6</t>
  </si>
  <si>
    <t>DSPsci Ref Disk: = F:\ on BigMo</t>
  </si>
  <si>
    <t>DSPCon</t>
  </si>
  <si>
    <t>Create shortcuts to programs on:</t>
  </si>
  <si>
    <t>Plotworkspace Location:</t>
  </si>
  <si>
    <t>C:\Program Files (x86)\DSPCon Piranha-III DAW</t>
  </si>
  <si>
    <t>idreds</t>
  </si>
  <si>
    <t>Include on Desktop:</t>
  </si>
  <si>
    <t>MultiScope Configure.xlsm</t>
  </si>
  <si>
    <t>~ 2011</t>
  </si>
  <si>
    <t>USER IDX</t>
  </si>
  <si>
    <t>THIS IS FOR A DAW AND N x MSD INSTANCES ON THE SAME MACHINE</t>
  </si>
  <si>
    <t>Changed lock PW to 'dspsci' on Sheet: Display Config</t>
  </si>
  <si>
    <t>Display and Setup Options:</t>
  </si>
  <si>
    <t>Saved workbook as v.1.003</t>
  </si>
  <si>
    <t>Set all internal server IP addresses to 127.0.0.1</t>
  </si>
  <si>
    <t>Moved 'Units Conversion Tool' button to this page for keeping</t>
  </si>
  <si>
    <t>Added auto-user name detection</t>
  </si>
  <si>
    <t xml:space="preserve">Created users Engineer1 - Engineer8 on local machine (i5) </t>
  </si>
  <si>
    <t>User Application Path:</t>
  </si>
  <si>
    <t>Selected:</t>
  </si>
  <si>
    <t>Started  VB code modification</t>
  </si>
  <si>
    <t>Multiscope Options</t>
  </si>
  <si>
    <t>User Name:</t>
  </si>
  <si>
    <t>Log-on User Name:</t>
  </si>
  <si>
    <t>Code debug - system structure</t>
  </si>
  <si>
    <t>Modifying Config for User:</t>
  </si>
  <si>
    <t>Target IP Address will be entered when MultiScope starts.</t>
  </si>
  <si>
    <t>Debug user lockout procedure</t>
  </si>
  <si>
    <t>GE Aviation</t>
  </si>
  <si>
    <t>First run through - add app numbering to vba next "MSD4", DATFS4, etc when writing files</t>
  </si>
  <si>
    <t>&lt;-- Do not edit</t>
  </si>
  <si>
    <t>Fixed sheet-open macro bug</t>
  </si>
  <si>
    <t>DFlex1000 or PiranhaIII-PC</t>
  </si>
  <si>
    <t>Polishing</t>
  </si>
  <si>
    <t>Export Root Directory Choices:</t>
  </si>
  <si>
    <t>Export Image Type:</t>
  </si>
  <si>
    <t>Debugging &amp; Security</t>
  </si>
  <si>
    <t>(Add shortcut in "All Users")</t>
  </si>
  <si>
    <t>Successsful in first pass configurations</t>
  </si>
  <si>
    <t>Debugging security routine</t>
  </si>
  <si>
    <t>Missing SysConfig worksheet and file???  - SysConfig.ini was found in root of C:\ drive ?</t>
  </si>
  <si>
    <t>[RServer]</t>
  </si>
  <si>
    <t>[ASServer]</t>
  </si>
  <si>
    <t>[SEServer]</t>
  </si>
  <si>
    <t>[Selected]</t>
  </si>
  <si>
    <t>mode=BasicSystemMonTemp</t>
  </si>
  <si>
    <t>[Database]</t>
  </si>
  <si>
    <t>UserPwd=Piranha3</t>
  </si>
  <si>
    <t>UserName=sa</t>
  </si>
  <si>
    <t>Location=127.0.0.1</t>
  </si>
  <si>
    <t>host=127.0.0.1</t>
  </si>
  <si>
    <t>Bug fixes &amp; Testing</t>
  </si>
  <si>
    <t>&lt;-- User is logged on</t>
  </si>
  <si>
    <t>&lt;-- MSD permission</t>
  </si>
  <si>
    <t>Final misc touchups</t>
  </si>
  <si>
    <t>Add GE Password</t>
  </si>
  <si>
    <t>Turn large time display in multiscope off</t>
  </si>
  <si>
    <t>ZM16CS010370</t>
  </si>
  <si>
    <t>dspcon</t>
  </si>
  <si>
    <t>&lt;-- MSD start after configuration</t>
  </si>
  <si>
    <t>Name=GEAE-CalibrationDB</t>
  </si>
  <si>
    <t>Final testing and tweaks</t>
  </si>
  <si>
    <t>PlotWorkspace:</t>
  </si>
  <si>
    <r>
      <rPr>
        <b/>
        <u/>
        <sz val="14"/>
        <rFont val="Arial"/>
        <family val="2"/>
      </rPr>
      <t xml:space="preserve">Note
</t>
    </r>
    <r>
      <rPr>
        <b/>
        <u/>
        <sz val="10"/>
        <rFont val="Arial"/>
        <family val="2"/>
      </rPr>
      <t xml:space="preserve">
</t>
    </r>
    <r>
      <rPr>
        <b/>
        <sz val="10"/>
        <rFont val="Arial"/>
        <family val="2"/>
      </rPr>
      <t xml:space="preserve">Instructions for ADMIN: </t>
    </r>
    <r>
      <rPr>
        <sz val="10"/>
        <rFont val="Arial"/>
        <family val="2"/>
      </rPr>
      <t>Before allowing users to use this program, be certain that the IP addresses in the table above are appropriate for your installation.  This configuration program re-writes several internal addresses and ini files based on the information contained above. 
Having incorrect ot incomplete information in the table can result in a misconfigured system.</t>
    </r>
  </si>
  <si>
    <t>Set Remote Station to POD#:</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</si>
</sst>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4" formatCode="_(&quot;$&quot;* #,##0.00_);_(&quot;$&quot;* \(#,##0.00\);_(&quot;$&quot;* &quot;-&quot;??_);_(@_)"/>
    <numFmt numFmtId="43" formatCode="_(* #,##0.00_);_(* \(#,##0.00\);_(* &quot;-&quot;??_);_(@_)"/>
    <numFmt numFmtId="164" formatCode="00"/>
    <numFmt numFmtId="165" formatCode="_(* #,##0.000_);_(* \(#,##0.000\);_(* &quot;-&quot;??_);_(@_)"/>
    <numFmt numFmtId="166" formatCode="0.000"/>
  </numFmts>
  <fonts count="89" x14ac:knownFonts="1">
    <font>
      <sz val="10"/>
      <name val="Arial"/>
    </font>
    <font>
      <sz val="10"/>
      <name val="Arial"/>
      <family val="2"/>
    </font>
    <font>
      <b/>
      <sz val="10"/>
      <name val="Arial"/>
      <family val="2"/>
    </font>
    <font>
      <b/>
      <sz val="10"/>
      <name val="Arial"/>
      <family val="2"/>
    </font>
    <font>
      <sz val="10"/>
      <color indexed="12"/>
      <name val="Arial"/>
      <family val="2"/>
    </font>
    <font>
      <sz val="10"/>
      <name val="MS Sans Serif"/>
      <family val="2"/>
    </font>
    <font>
      <sz val="10"/>
      <name val="Courier"/>
      <family val="3"/>
    </font>
    <font>
      <sz val="10"/>
      <name val="Lucida Console"/>
      <family val="3"/>
    </font>
    <font>
      <sz val="10"/>
      <name val="Terminal"/>
      <family val="3"/>
      <charset val="255"/>
    </font>
    <font>
      <sz val="10"/>
      <name val="Arial Narrow"/>
      <family val="2"/>
    </font>
    <font>
      <sz val="10"/>
      <name val="Courier New"/>
      <family val="3"/>
    </font>
    <font>
      <sz val="10"/>
      <color indexed="55"/>
      <name val="Arial"/>
      <family val="2"/>
    </font>
    <font>
      <sz val="8"/>
      <name val="Arial"/>
      <family val="2"/>
    </font>
    <font>
      <sz val="10"/>
      <name val="Arial"/>
      <family val="2"/>
    </font>
    <font>
      <sz val="12"/>
      <name val="Times New Roman"/>
      <family val="1"/>
    </font>
    <font>
      <b/>
      <sz val="12"/>
      <name val="Times New Roman"/>
      <family val="1"/>
    </font>
    <font>
      <b/>
      <sz val="12"/>
      <color indexed="48"/>
      <name val="Times New Roman"/>
      <family val="1"/>
    </font>
    <font>
      <b/>
      <sz val="10"/>
      <color indexed="48"/>
      <name val="Arial"/>
      <family val="2"/>
    </font>
    <font>
      <sz val="12"/>
      <color indexed="48"/>
      <name val="Times New Roman"/>
      <family val="1"/>
    </font>
    <font>
      <sz val="10"/>
      <color indexed="48"/>
      <name val="Arial"/>
      <family val="2"/>
    </font>
    <font>
      <sz val="10"/>
      <color indexed="8"/>
      <name val="Arial"/>
      <family val="2"/>
    </font>
    <font>
      <b/>
      <sz val="10"/>
      <color indexed="10"/>
      <name val="Arial"/>
      <family val="2"/>
    </font>
    <font>
      <b/>
      <sz val="10"/>
      <color indexed="57"/>
      <name val="Arial"/>
      <family val="2"/>
    </font>
    <font>
      <b/>
      <sz val="10"/>
      <color indexed="48"/>
      <name val="Arial"/>
      <family val="2"/>
    </font>
    <font>
      <b/>
      <sz val="10"/>
      <color indexed="22"/>
      <name val="Arial"/>
      <family val="2"/>
    </font>
    <font>
      <sz val="10"/>
      <color indexed="22"/>
      <name val="Courier New"/>
      <family val="3"/>
    </font>
    <font>
      <sz val="10"/>
      <color indexed="22"/>
      <name val="Arial"/>
      <family val="2"/>
    </font>
    <font>
      <sz val="10"/>
      <color indexed="50"/>
      <name val="Arial"/>
      <family val="2"/>
    </font>
    <font>
      <b/>
      <sz val="8"/>
      <name val="Arial"/>
      <family val="2"/>
    </font>
    <font>
      <sz val="10"/>
      <color indexed="22"/>
      <name val="Arial"/>
      <family val="2"/>
    </font>
    <font>
      <sz val="9"/>
      <name val="Arial"/>
      <family val="2"/>
    </font>
    <font>
      <b/>
      <sz val="10"/>
      <color indexed="8"/>
      <name val="Arial"/>
      <family val="2"/>
    </font>
    <font>
      <sz val="10"/>
      <color indexed="12"/>
      <name val="Courier New"/>
      <family val="3"/>
    </font>
    <font>
      <sz val="10"/>
      <color indexed="12"/>
      <name val="Arial"/>
      <family val="2"/>
    </font>
    <font>
      <b/>
      <sz val="9"/>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color indexed="9"/>
      <name val="Arial"/>
      <family val="2"/>
    </font>
    <font>
      <sz val="10"/>
      <name val="Arial"/>
      <family val="2"/>
    </font>
    <font>
      <b/>
      <sz val="12"/>
      <color rgb="FF000000"/>
      <name val="Arial"/>
      <family val="2"/>
    </font>
    <font>
      <sz val="10"/>
      <color rgb="FF000000"/>
      <name val="Arial"/>
      <family val="2"/>
    </font>
    <font>
      <sz val="8"/>
      <color rgb="FF000000"/>
      <name val="Tahoma"/>
      <family val="2"/>
    </font>
    <font>
      <sz val="11"/>
      <name val="Calibri"/>
      <family val="2"/>
    </font>
    <font>
      <b/>
      <sz val="11"/>
      <name val="Calibri"/>
      <family val="2"/>
    </font>
    <font>
      <b/>
      <sz val="11"/>
      <color rgb="FF002060"/>
      <name val="Calibri"/>
      <family val="2"/>
    </font>
    <font>
      <b/>
      <sz val="12"/>
      <color rgb="FF002060"/>
      <name val="Calibri"/>
      <family val="2"/>
    </font>
    <font>
      <sz val="12"/>
      <color rgb="FF002060"/>
      <name val="Calibri"/>
      <family val="2"/>
    </font>
    <font>
      <sz val="10"/>
      <color theme="1"/>
      <name val="Arial"/>
      <family val="2"/>
    </font>
    <font>
      <i/>
      <sz val="8"/>
      <name val="Arial"/>
      <family val="2"/>
    </font>
    <font>
      <sz val="9"/>
      <color indexed="81"/>
      <name val="Tahoma"/>
      <family val="2"/>
    </font>
    <font>
      <b/>
      <sz val="10"/>
      <color theme="1"/>
      <name val="Arial"/>
      <family val="2"/>
    </font>
    <font>
      <sz val="10"/>
      <color rgb="FFFF0000"/>
      <name val="Arial"/>
      <family val="2"/>
    </font>
    <font>
      <b/>
      <sz val="11"/>
      <name val="Calibri"/>
      <family val="2"/>
      <scheme val="minor"/>
    </font>
    <font>
      <sz val="11"/>
      <name val="Calibri"/>
      <family val="2"/>
      <scheme val="minor"/>
    </font>
    <font>
      <b/>
      <sz val="12"/>
      <name val="Calibri"/>
      <family val="2"/>
      <scheme val="minor"/>
    </font>
    <font>
      <b/>
      <sz val="12"/>
      <color theme="0"/>
      <name val="Calibri"/>
      <family val="2"/>
      <scheme val="minor"/>
    </font>
    <font>
      <b/>
      <u/>
      <sz val="10"/>
      <name val="Arial"/>
      <family val="2"/>
    </font>
    <font>
      <b/>
      <u/>
      <sz val="14"/>
      <name val="Arial"/>
      <family val="2"/>
    </font>
    <font>
      <sz val="11"/>
      <color rgb="FF242729"/>
      <name val="Arial"/>
      <family val="2"/>
    </font>
    <font>
      <sz val="10"/>
      <color theme="0"/>
      <name val="Arial"/>
      <family val="2"/>
    </font>
    <font>
      <sz val="9"/>
      <color theme="1"/>
      <name val="Arial"/>
      <family val="2"/>
    </font>
    <font>
      <b/>
      <sz val="11"/>
      <color theme="0"/>
      <name val="Arial"/>
      <family val="2"/>
    </font>
    <font>
      <b/>
      <sz val="12"/>
      <color theme="1"/>
      <name val="Arial"/>
      <family val="2"/>
    </font>
    <font>
      <b/>
      <sz val="14"/>
      <color rgb="FF000000"/>
      <name val="Arial"/>
      <family val="2"/>
    </font>
    <font>
      <b/>
      <sz val="11"/>
      <name val="Arial"/>
      <family val="2"/>
    </font>
    <font>
      <b/>
      <u/>
      <sz val="12"/>
      <color theme="0"/>
      <name val="Arial"/>
      <family val="2"/>
    </font>
    <font>
      <b/>
      <sz val="9"/>
      <color rgb="FFFF0000"/>
      <name val="Arial"/>
      <family val="2"/>
    </font>
    <font>
      <b/>
      <sz val="11"/>
      <color rgb="FFFF0000"/>
      <name val="Arial"/>
      <family val="2"/>
    </font>
    <font>
      <b/>
      <sz val="9"/>
      <color indexed="81"/>
      <name val="Tahoma"/>
      <family val="2"/>
    </font>
    <font>
      <u/>
      <sz val="10"/>
      <color theme="10"/>
      <name val="Arial"/>
      <family val="2"/>
    </font>
    <font>
      <b/>
      <sz val="10"/>
      <color rgb="FFFF0000"/>
      <name val="Arial"/>
      <family val="2"/>
    </font>
    <font>
      <sz val="10"/>
      <color theme="1" tint="0.34998626667073579"/>
      <name val="Arial"/>
      <family val="2"/>
    </font>
    <font>
      <sz val="8"/>
      <color theme="1" tint="0.34998626667073579"/>
      <name val="Arial"/>
      <family val="2"/>
    </font>
    <font>
      <b/>
      <sz val="14"/>
      <name val="Arial"/>
      <family val="2"/>
    </font>
  </fonts>
  <fills count="4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13"/>
        <bgColor indexed="64"/>
      </patternFill>
    </fill>
    <fill>
      <patternFill patternType="solid">
        <fgColor indexed="41"/>
        <bgColor indexed="64"/>
      </patternFill>
    </fill>
    <fill>
      <patternFill patternType="solid">
        <fgColor indexed="42"/>
        <bgColor indexed="64"/>
      </patternFill>
    </fill>
    <fill>
      <patternFill patternType="solid">
        <fgColor indexed="10"/>
        <bgColor indexed="64"/>
      </patternFill>
    </fill>
    <fill>
      <patternFill patternType="solid">
        <fgColor indexed="11"/>
        <bgColor indexed="64"/>
      </patternFill>
    </fill>
    <fill>
      <patternFill patternType="solid">
        <fgColor indexed="44"/>
        <bgColor indexed="64"/>
      </patternFill>
    </fill>
    <fill>
      <patternFill patternType="solid">
        <fgColor indexed="47"/>
        <bgColor indexed="64"/>
      </patternFill>
    </fill>
    <fill>
      <patternFill patternType="solid">
        <fgColor indexed="51"/>
        <bgColor indexed="64"/>
      </patternFill>
    </fill>
    <fill>
      <patternFill patternType="solid">
        <fgColor indexed="52"/>
        <bgColor indexed="64"/>
      </patternFill>
    </fill>
    <fill>
      <patternFill patternType="solid">
        <fgColor indexed="22"/>
        <bgColor indexed="64"/>
      </patternFill>
    </fill>
    <fill>
      <patternFill patternType="solid">
        <fgColor theme="1"/>
        <bgColor indexed="64"/>
      </patternFill>
    </fill>
    <fill>
      <patternFill patternType="solid">
        <fgColor theme="0" tint="-4.9989318521683403E-2"/>
        <bgColor indexed="64"/>
      </patternFill>
    </fill>
    <fill>
      <patternFill patternType="gray125">
        <fgColor theme="0" tint="-0.14996795556505021"/>
        <bgColor theme="0"/>
      </patternFill>
    </fill>
    <fill>
      <patternFill patternType="solid">
        <fgColor theme="6" tint="0.79998168889431442"/>
        <bgColor indexed="64"/>
      </patternFill>
    </fill>
    <fill>
      <patternFill patternType="solid">
        <fgColor rgb="FF92D050"/>
        <bgColor indexed="64"/>
      </patternFill>
    </fill>
    <fill>
      <patternFill patternType="solid">
        <fgColor rgb="FFFFFFFF"/>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theme="1" tint="0.34998626667073579"/>
        <bgColor indexed="64"/>
      </patternFill>
    </fill>
    <fill>
      <patternFill patternType="solid">
        <fgColor rgb="FFFFFF00"/>
        <bgColor indexed="64"/>
      </patternFill>
    </fill>
  </fills>
  <borders count="5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theme="0" tint="-0.24994659260841701"/>
      </left>
      <right style="medium">
        <color theme="0" tint="-0.24994659260841701"/>
      </right>
      <top style="medium">
        <color theme="0" tint="-0.24994659260841701"/>
      </top>
      <bottom style="medium">
        <color theme="0" tint="-0.24994659260841701"/>
      </bottom>
      <diagonal/>
    </border>
    <border>
      <left/>
      <right/>
      <top style="medium">
        <color indexed="64"/>
      </top>
      <bottom/>
      <diagonal/>
    </border>
    <border>
      <left/>
      <right/>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s>
  <cellStyleXfs count="46">
    <xf numFmtId="0" fontId="0" fillId="0" borderId="0"/>
    <xf numFmtId="0" fontId="35" fillId="2" borderId="0" applyNumberFormat="0" applyBorder="0" applyAlignment="0" applyProtection="0"/>
    <xf numFmtId="0" fontId="35" fillId="3" borderId="0" applyNumberFormat="0" applyBorder="0" applyAlignment="0" applyProtection="0"/>
    <xf numFmtId="0" fontId="35" fillId="4" borderId="0" applyNumberFormat="0" applyBorder="0" applyAlignment="0" applyProtection="0"/>
    <xf numFmtId="0" fontId="35" fillId="5" borderId="0" applyNumberFormat="0" applyBorder="0" applyAlignment="0" applyProtection="0"/>
    <xf numFmtId="0" fontId="35" fillId="6" borderId="0" applyNumberFormat="0" applyBorder="0" applyAlignment="0" applyProtection="0"/>
    <xf numFmtId="0" fontId="35" fillId="7" borderId="0" applyNumberFormat="0" applyBorder="0" applyAlignment="0" applyProtection="0"/>
    <xf numFmtId="0" fontId="35" fillId="8" borderId="0" applyNumberFormat="0" applyBorder="0" applyAlignment="0" applyProtection="0"/>
    <xf numFmtId="0" fontId="35" fillId="9" borderId="0" applyNumberFormat="0" applyBorder="0" applyAlignment="0" applyProtection="0"/>
    <xf numFmtId="0" fontId="35" fillId="10" borderId="0" applyNumberFormat="0" applyBorder="0" applyAlignment="0" applyProtection="0"/>
    <xf numFmtId="0" fontId="35" fillId="5" borderId="0" applyNumberFormat="0" applyBorder="0" applyAlignment="0" applyProtection="0"/>
    <xf numFmtId="0" fontId="35" fillId="8" borderId="0" applyNumberFormat="0" applyBorder="0" applyAlignment="0" applyProtection="0"/>
    <xf numFmtId="0" fontId="35" fillId="11" borderId="0" applyNumberFormat="0" applyBorder="0" applyAlignment="0" applyProtection="0"/>
    <xf numFmtId="0" fontId="36" fillId="12" borderId="0" applyNumberFormat="0" applyBorder="0" applyAlignment="0" applyProtection="0"/>
    <xf numFmtId="0" fontId="36" fillId="9" borderId="0" applyNumberFormat="0" applyBorder="0" applyAlignment="0" applyProtection="0"/>
    <xf numFmtId="0" fontId="36" fillId="10"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5" borderId="0" applyNumberFormat="0" applyBorder="0" applyAlignment="0" applyProtection="0"/>
    <xf numFmtId="0" fontId="36" fillId="16" borderId="0" applyNumberFormat="0" applyBorder="0" applyAlignment="0" applyProtection="0"/>
    <xf numFmtId="0" fontId="36" fillId="17" borderId="0" applyNumberFormat="0" applyBorder="0" applyAlignment="0" applyProtection="0"/>
    <xf numFmtId="0" fontId="36" fillId="18"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9" borderId="0" applyNumberFormat="0" applyBorder="0" applyAlignment="0" applyProtection="0"/>
    <xf numFmtId="0" fontId="37" fillId="3" borderId="0" applyNumberFormat="0" applyBorder="0" applyAlignment="0" applyProtection="0"/>
    <xf numFmtId="0" fontId="38" fillId="20" borderId="1" applyNumberFormat="0" applyAlignment="0" applyProtection="0"/>
    <xf numFmtId="0" fontId="39" fillId="21" borderId="2" applyNumberFormat="0" applyAlignment="0" applyProtection="0"/>
    <xf numFmtId="43" fontId="1" fillId="0" borderId="0" applyFont="0" applyFill="0" applyBorder="0" applyAlignment="0" applyProtection="0"/>
    <xf numFmtId="44" fontId="53" fillId="0" borderId="0" applyFont="0" applyFill="0" applyBorder="0" applyAlignment="0" applyProtection="0"/>
    <xf numFmtId="0" fontId="40" fillId="0" borderId="0" applyNumberFormat="0" applyFill="0" applyBorder="0" applyAlignment="0" applyProtection="0"/>
    <xf numFmtId="0" fontId="41" fillId="4" borderId="0" applyNumberFormat="0" applyBorder="0" applyAlignment="0" applyProtection="0"/>
    <xf numFmtId="0" fontId="42" fillId="0" borderId="3" applyNumberFormat="0" applyFill="0" applyAlignment="0" applyProtection="0"/>
    <xf numFmtId="0" fontId="43" fillId="0" borderId="4" applyNumberFormat="0" applyFill="0" applyAlignment="0" applyProtection="0"/>
    <xf numFmtId="0" fontId="44" fillId="0" borderId="5" applyNumberFormat="0" applyFill="0" applyAlignment="0" applyProtection="0"/>
    <xf numFmtId="0" fontId="44" fillId="0" borderId="0" applyNumberFormat="0" applyFill="0" applyBorder="0" applyAlignment="0" applyProtection="0"/>
    <xf numFmtId="0" fontId="45" fillId="7" borderId="1" applyNumberFormat="0" applyAlignment="0" applyProtection="0"/>
    <xf numFmtId="0" fontId="46" fillId="0" borderId="6" applyNumberFormat="0" applyFill="0" applyAlignment="0" applyProtection="0"/>
    <xf numFmtId="0" fontId="47" fillId="22" borderId="0" applyNumberFormat="0" applyBorder="0" applyAlignment="0" applyProtection="0"/>
    <xf numFmtId="0" fontId="1" fillId="23" borderId="7" applyNumberFormat="0" applyFont="0" applyAlignment="0" applyProtection="0"/>
    <xf numFmtId="0" fontId="48" fillId="20" borderId="8" applyNumberFormat="0" applyAlignment="0" applyProtection="0"/>
    <xf numFmtId="9" fontId="1" fillId="0" borderId="0" applyFont="0" applyFill="0" applyBorder="0" applyAlignment="0" applyProtection="0"/>
    <xf numFmtId="0" fontId="49" fillId="0" borderId="0" applyNumberFormat="0" applyFill="0" applyBorder="0" applyAlignment="0" applyProtection="0"/>
    <xf numFmtId="0" fontId="50" fillId="0" borderId="9" applyNumberFormat="0" applyFill="0" applyAlignment="0" applyProtection="0"/>
    <xf numFmtId="0" fontId="51" fillId="0" borderId="0" applyNumberFormat="0" applyFill="0" applyBorder="0" applyAlignment="0" applyProtection="0"/>
    <xf numFmtId="0" fontId="84" fillId="0" borderId="0" applyNumberFormat="0" applyFill="0" applyBorder="0" applyAlignment="0" applyProtection="0"/>
  </cellStyleXfs>
  <cellXfs count="271">
    <xf numFmtId="0" fontId="0" fillId="0" borderId="0" xfId="0"/>
    <xf numFmtId="49" fontId="0" fillId="0" borderId="0" xfId="0" applyNumberFormat="1"/>
    <xf numFmtId="0" fontId="0" fillId="0" borderId="0" xfId="0" applyNumberFormat="1"/>
    <xf numFmtId="0" fontId="0" fillId="0" borderId="0" xfId="0" applyAlignment="1">
      <alignment horizontal="center"/>
    </xf>
    <xf numFmtId="0" fontId="0" fillId="0" borderId="0" xfId="0" applyAlignment="1">
      <alignment vertical="center"/>
    </xf>
    <xf numFmtId="0" fontId="2" fillId="24" borderId="10" xfId="0" applyFont="1" applyFill="1" applyBorder="1" applyAlignment="1">
      <alignment horizontal="center" vertical="center"/>
    </xf>
    <xf numFmtId="0" fontId="0" fillId="25" borderId="10" xfId="0" applyFill="1" applyBorder="1" applyAlignment="1">
      <alignment horizontal="center"/>
    </xf>
    <xf numFmtId="0" fontId="2" fillId="25" borderId="10" xfId="0" applyFont="1" applyFill="1" applyBorder="1" applyAlignment="1">
      <alignment horizontal="center"/>
    </xf>
    <xf numFmtId="0" fontId="0" fillId="0" borderId="0" xfId="0" applyFill="1" applyAlignment="1">
      <alignment vertical="center"/>
    </xf>
    <xf numFmtId="0" fontId="0" fillId="0" borderId="0" xfId="0" applyFill="1"/>
    <xf numFmtId="0" fontId="2" fillId="0" borderId="0" xfId="0" applyFont="1"/>
    <xf numFmtId="0" fontId="4" fillId="27" borderId="0" xfId="0" applyFont="1" applyFill="1"/>
    <xf numFmtId="0" fontId="5" fillId="0" borderId="0" xfId="0" applyFont="1"/>
    <xf numFmtId="0" fontId="6" fillId="0" borderId="0" xfId="0" applyFont="1"/>
    <xf numFmtId="0" fontId="7" fillId="0" borderId="0" xfId="0" applyFont="1"/>
    <xf numFmtId="0" fontId="8" fillId="0" borderId="0" xfId="0" applyFont="1"/>
    <xf numFmtId="0" fontId="10" fillId="0" borderId="0" xfId="0" applyFont="1"/>
    <xf numFmtId="0" fontId="11" fillId="0" borderId="0" xfId="0" applyFont="1"/>
    <xf numFmtId="0" fontId="11" fillId="0" borderId="0" xfId="0" applyFont="1" applyAlignment="1">
      <alignment horizontal="left"/>
    </xf>
    <xf numFmtId="0" fontId="13" fillId="0" borderId="0" xfId="0" applyFont="1" applyFill="1" applyAlignment="1">
      <alignment vertical="center"/>
    </xf>
    <xf numFmtId="0" fontId="13" fillId="0" borderId="0" xfId="0" applyFont="1" applyFill="1"/>
    <xf numFmtId="0" fontId="13" fillId="0" borderId="0" xfId="0" applyFont="1"/>
    <xf numFmtId="0" fontId="13" fillId="0" borderId="0" xfId="0" applyFont="1" applyAlignment="1">
      <alignment horizontal="left"/>
    </xf>
    <xf numFmtId="49" fontId="2" fillId="0" borderId="0" xfId="0" applyNumberFormat="1" applyFont="1"/>
    <xf numFmtId="0" fontId="14" fillId="0" borderId="0" xfId="0" applyFont="1"/>
    <xf numFmtId="0" fontId="15" fillId="0" borderId="0" xfId="0" applyFont="1"/>
    <xf numFmtId="0" fontId="15" fillId="0" borderId="10" xfId="0" applyFont="1" applyBorder="1" applyAlignment="1">
      <alignment vertical="top" wrapText="1"/>
    </xf>
    <xf numFmtId="0" fontId="15" fillId="0" borderId="11" xfId="0" applyFont="1" applyBorder="1" applyAlignment="1">
      <alignment vertical="top" wrapText="1"/>
    </xf>
    <xf numFmtId="0" fontId="14" fillId="0" borderId="12" xfId="0" applyFont="1" applyBorder="1" applyAlignment="1">
      <alignment vertical="top" wrapText="1"/>
    </xf>
    <xf numFmtId="0" fontId="14" fillId="0" borderId="13" xfId="0" applyFont="1" applyBorder="1" applyAlignment="1">
      <alignment vertical="top" wrapText="1"/>
    </xf>
    <xf numFmtId="0" fontId="10" fillId="0" borderId="0" xfId="28" applyNumberFormat="1" applyFont="1"/>
    <xf numFmtId="0" fontId="0" fillId="0" borderId="0" xfId="0" applyAlignment="1">
      <alignment horizontal="right"/>
    </xf>
    <xf numFmtId="0" fontId="2" fillId="0" borderId="0" xfId="0" applyFont="1" applyAlignment="1">
      <alignment horizontal="right"/>
    </xf>
    <xf numFmtId="0" fontId="16" fillId="0" borderId="0" xfId="0" applyFont="1"/>
    <xf numFmtId="0" fontId="17" fillId="0" borderId="0" xfId="0" applyFont="1"/>
    <xf numFmtId="0" fontId="18" fillId="0" borderId="0" xfId="0" applyFont="1"/>
    <xf numFmtId="0" fontId="19" fillId="27" borderId="0" xfId="0" applyFont="1" applyFill="1"/>
    <xf numFmtId="0" fontId="11" fillId="0" borderId="0" xfId="0" applyFont="1" applyAlignment="1">
      <alignment horizontal="center"/>
    </xf>
    <xf numFmtId="0" fontId="20" fillId="28" borderId="0" xfId="0" applyFont="1" applyFill="1" applyAlignment="1">
      <alignment horizontal="center"/>
    </xf>
    <xf numFmtId="0" fontId="20" fillId="29" borderId="0" xfId="0" applyFont="1" applyFill="1" applyAlignment="1">
      <alignment horizontal="center"/>
    </xf>
    <xf numFmtId="0" fontId="20" fillId="30" borderId="0" xfId="0" applyFont="1" applyFill="1" applyAlignment="1">
      <alignment horizontal="center"/>
    </xf>
    <xf numFmtId="0" fontId="21" fillId="0" borderId="0" xfId="0" applyFont="1" applyAlignment="1">
      <alignment horizontal="center"/>
    </xf>
    <xf numFmtId="0" fontId="22" fillId="0" borderId="0" xfId="0" applyFont="1" applyAlignment="1">
      <alignment horizontal="center"/>
    </xf>
    <xf numFmtId="0" fontId="23" fillId="0" borderId="0" xfId="0" applyFont="1" applyAlignment="1">
      <alignment horizontal="center"/>
    </xf>
    <xf numFmtId="0" fontId="24" fillId="0" borderId="0" xfId="0" applyFont="1" applyAlignment="1">
      <alignment horizontal="center"/>
    </xf>
    <xf numFmtId="0" fontId="25" fillId="0" borderId="0" xfId="28" applyNumberFormat="1" applyFont="1" applyAlignment="1">
      <alignment horizontal="center"/>
    </xf>
    <xf numFmtId="0" fontId="25" fillId="0" borderId="0" xfId="0" applyFont="1" applyAlignment="1">
      <alignment horizontal="center"/>
    </xf>
    <xf numFmtId="0" fontId="26" fillId="0" borderId="0" xfId="0" applyFont="1" applyAlignment="1">
      <alignment horizontal="center"/>
    </xf>
    <xf numFmtId="0" fontId="0" fillId="0" borderId="0" xfId="0" applyFill="1" applyBorder="1" applyAlignment="1">
      <alignment horizontal="center"/>
    </xf>
    <xf numFmtId="0" fontId="0" fillId="0" borderId="0" xfId="0" applyBorder="1"/>
    <xf numFmtId="0" fontId="12" fillId="0" borderId="0" xfId="0" applyFont="1"/>
    <xf numFmtId="0" fontId="12" fillId="31" borderId="0" xfId="0" applyFont="1" applyFill="1"/>
    <xf numFmtId="0" fontId="0" fillId="31" borderId="0" xfId="0" applyFill="1"/>
    <xf numFmtId="0" fontId="0" fillId="31" borderId="0" xfId="0" applyFill="1" applyAlignment="1">
      <alignment horizontal="center"/>
    </xf>
    <xf numFmtId="0" fontId="27" fillId="31" borderId="0" xfId="0" applyFont="1" applyFill="1" applyAlignment="1">
      <alignment horizontal="center"/>
    </xf>
    <xf numFmtId="0" fontId="27" fillId="0" borderId="0" xfId="0" applyFont="1" applyAlignment="1">
      <alignment horizontal="center"/>
    </xf>
    <xf numFmtId="164" fontId="27" fillId="31" borderId="0" xfId="0" applyNumberFormat="1" applyFont="1" applyFill="1" applyAlignment="1">
      <alignment horizontal="center"/>
    </xf>
    <xf numFmtId="0" fontId="12" fillId="31" borderId="0" xfId="0" applyFont="1" applyFill="1" applyAlignment="1">
      <alignment horizontal="center"/>
    </xf>
    <xf numFmtId="0" fontId="12" fillId="32" borderId="14" xfId="0" applyFont="1" applyFill="1" applyBorder="1" applyAlignment="1">
      <alignment horizontal="center"/>
    </xf>
    <xf numFmtId="0" fontId="12" fillId="0" borderId="0" xfId="0" applyFont="1" applyAlignment="1">
      <alignment horizontal="center"/>
    </xf>
    <xf numFmtId="0" fontId="28" fillId="0" borderId="0" xfId="0" applyFont="1" applyAlignment="1">
      <alignment horizontal="left"/>
    </xf>
    <xf numFmtId="0" fontId="12" fillId="0" borderId="0" xfId="0" applyFont="1" applyAlignment="1">
      <alignment horizontal="left"/>
    </xf>
    <xf numFmtId="0" fontId="4" fillId="0" borderId="0" xfId="0" applyFont="1"/>
    <xf numFmtId="0" fontId="29" fillId="0" borderId="0" xfId="0" applyFont="1"/>
    <xf numFmtId="0" fontId="0" fillId="27" borderId="0" xfId="0" applyFill="1"/>
    <xf numFmtId="0" fontId="0" fillId="33" borderId="0" xfId="0" applyFill="1"/>
    <xf numFmtId="0" fontId="2" fillId="0" borderId="0" xfId="0" applyFont="1" applyAlignment="1">
      <alignment horizontal="center"/>
    </xf>
    <xf numFmtId="0" fontId="13" fillId="0" borderId="0" xfId="0" applyFont="1" applyAlignment="1">
      <alignment horizontal="center"/>
    </xf>
    <xf numFmtId="0" fontId="0" fillId="0" borderId="0" xfId="0" applyAlignment="1">
      <alignment horizontal="left"/>
    </xf>
    <xf numFmtId="0" fontId="0" fillId="0" borderId="0" xfId="0" applyFill="1" applyBorder="1"/>
    <xf numFmtId="0" fontId="21" fillId="0" borderId="0" xfId="0" applyFont="1" applyFill="1" applyBorder="1" applyAlignment="1">
      <alignment horizontal="center"/>
    </xf>
    <xf numFmtId="0" fontId="22" fillId="0" borderId="0" xfId="0" applyFont="1" applyFill="1" applyBorder="1" applyAlignment="1">
      <alignment horizontal="center"/>
    </xf>
    <xf numFmtId="0" fontId="23" fillId="0" borderId="0" xfId="0" applyFont="1" applyFill="1" applyBorder="1" applyAlignment="1">
      <alignment horizontal="center"/>
    </xf>
    <xf numFmtId="0" fontId="20" fillId="0" borderId="0" xfId="0" applyFont="1" applyFill="1" applyBorder="1" applyAlignment="1">
      <alignment horizontal="center"/>
    </xf>
    <xf numFmtId="164" fontId="20" fillId="0" borderId="0" xfId="0" applyNumberFormat="1" applyFont="1" applyFill="1" applyBorder="1" applyAlignment="1">
      <alignment horizontal="center"/>
    </xf>
    <xf numFmtId="0" fontId="29" fillId="0" borderId="0" xfId="0" applyFont="1" applyAlignment="1">
      <alignment horizontal="center"/>
    </xf>
    <xf numFmtId="0" fontId="0" fillId="0" borderId="15" xfId="0" applyBorder="1"/>
    <xf numFmtId="0" fontId="26" fillId="0" borderId="16" xfId="0" applyFont="1" applyBorder="1" applyAlignment="1">
      <alignment horizontal="center"/>
    </xf>
    <xf numFmtId="0" fontId="20" fillId="28" borderId="16" xfId="0" applyFont="1" applyFill="1" applyBorder="1" applyAlignment="1">
      <alignment horizontal="center"/>
    </xf>
    <xf numFmtId="0" fontId="20" fillId="29" borderId="16" xfId="0" applyFont="1" applyFill="1" applyBorder="1" applyAlignment="1">
      <alignment horizontal="center"/>
    </xf>
    <xf numFmtId="0" fontId="20" fillId="30" borderId="11" xfId="0" applyFont="1" applyFill="1" applyBorder="1" applyAlignment="1">
      <alignment horizontal="center"/>
    </xf>
    <xf numFmtId="0" fontId="0" fillId="27" borderId="16" xfId="0" applyFill="1" applyBorder="1"/>
    <xf numFmtId="0" fontId="32" fillId="27" borderId="16" xfId="28" applyNumberFormat="1" applyFont="1" applyFill="1" applyBorder="1" applyAlignment="1">
      <alignment horizontal="center"/>
    </xf>
    <xf numFmtId="0" fontId="32" fillId="27" borderId="16" xfId="0" applyFont="1" applyFill="1" applyBorder="1" applyAlignment="1">
      <alignment horizontal="center"/>
    </xf>
    <xf numFmtId="0" fontId="4" fillId="27" borderId="17" xfId="0" applyFont="1" applyFill="1" applyBorder="1" applyAlignment="1">
      <alignment horizontal="center"/>
    </xf>
    <xf numFmtId="0" fontId="0" fillId="0" borderId="18" xfId="0" applyBorder="1"/>
    <xf numFmtId="0" fontId="26" fillId="0" borderId="19" xfId="0" applyFont="1" applyBorder="1" applyAlignment="1">
      <alignment horizontal="center"/>
    </xf>
    <xf numFmtId="9" fontId="20" fillId="28" borderId="19" xfId="41" applyFont="1" applyFill="1" applyBorder="1" applyAlignment="1">
      <alignment horizontal="center"/>
    </xf>
    <xf numFmtId="9" fontId="20" fillId="29" borderId="19" xfId="41" applyFont="1" applyFill="1" applyBorder="1" applyAlignment="1">
      <alignment horizontal="center"/>
    </xf>
    <xf numFmtId="9" fontId="20" fillId="30" borderId="20" xfId="41" applyFont="1" applyFill="1" applyBorder="1" applyAlignment="1">
      <alignment horizontal="center"/>
    </xf>
    <xf numFmtId="0" fontId="0" fillId="0" borderId="21" xfId="0" applyBorder="1"/>
    <xf numFmtId="0" fontId="0" fillId="0" borderId="22" xfId="0" applyBorder="1"/>
    <xf numFmtId="0" fontId="25" fillId="0" borderId="0" xfId="0" applyFont="1" applyBorder="1" applyAlignment="1">
      <alignment horizontal="center"/>
    </xf>
    <xf numFmtId="0" fontId="26" fillId="0" borderId="0" xfId="0" applyFont="1" applyBorder="1" applyAlignment="1">
      <alignment horizontal="center"/>
    </xf>
    <xf numFmtId="9" fontId="20" fillId="28" borderId="0" xfId="41" applyFont="1" applyFill="1" applyBorder="1" applyAlignment="1">
      <alignment horizontal="center"/>
    </xf>
    <xf numFmtId="9" fontId="20" fillId="29" borderId="0" xfId="41" applyFont="1" applyFill="1" applyBorder="1" applyAlignment="1">
      <alignment horizontal="center"/>
    </xf>
    <xf numFmtId="9" fontId="20" fillId="30" borderId="22" xfId="41" applyFont="1" applyFill="1" applyBorder="1" applyAlignment="1">
      <alignment horizontal="center"/>
    </xf>
    <xf numFmtId="0" fontId="0" fillId="0" borderId="23" xfId="0" applyBorder="1"/>
    <xf numFmtId="0" fontId="0" fillId="0" borderId="13" xfId="0" applyBorder="1"/>
    <xf numFmtId="0" fontId="11" fillId="0" borderId="21" xfId="0" applyFont="1" applyBorder="1"/>
    <xf numFmtId="0" fontId="19" fillId="0" borderId="0" xfId="0" applyFont="1" applyAlignment="1">
      <alignment horizontal="left"/>
    </xf>
    <xf numFmtId="0" fontId="19" fillId="0" borderId="0" xfId="0" applyFont="1" applyAlignment="1">
      <alignment horizontal="center"/>
    </xf>
    <xf numFmtId="0" fontId="32" fillId="0" borderId="19" xfId="28" applyNumberFormat="1" applyFont="1" applyBorder="1" applyAlignment="1">
      <alignment horizontal="center"/>
    </xf>
    <xf numFmtId="0" fontId="33" fillId="0" borderId="0" xfId="0" applyFont="1" applyBorder="1"/>
    <xf numFmtId="0" fontId="32" fillId="0" borderId="0" xfId="28" applyNumberFormat="1" applyFont="1" applyBorder="1" applyAlignment="1">
      <alignment horizontal="center"/>
    </xf>
    <xf numFmtId="0" fontId="20" fillId="0" borderId="0" xfId="0" applyFont="1"/>
    <xf numFmtId="0" fontId="31" fillId="0" borderId="0" xfId="0" applyFont="1"/>
    <xf numFmtId="0" fontId="0" fillId="0" borderId="0" xfId="0" applyFill="1" applyBorder="1" applyAlignment="1">
      <alignment horizontal="center" vertical="center"/>
    </xf>
    <xf numFmtId="43" fontId="52" fillId="0" borderId="0" xfId="28" applyFont="1" applyFill="1" applyBorder="1" applyAlignment="1">
      <alignment horizontal="center" vertical="center" wrapText="1"/>
    </xf>
    <xf numFmtId="165" fontId="52" fillId="0" borderId="0" xfId="28" applyNumberFormat="1" applyFont="1" applyFill="1" applyBorder="1" applyAlignment="1">
      <alignment horizontal="center" vertical="center" wrapText="1"/>
    </xf>
    <xf numFmtId="2" fontId="0" fillId="0" borderId="0" xfId="0" applyNumberFormat="1" applyFill="1" applyBorder="1" applyAlignment="1" applyProtection="1">
      <alignment horizontal="center" vertical="center"/>
      <protection locked="0"/>
    </xf>
    <xf numFmtId="0" fontId="0" fillId="0" borderId="0" xfId="0" applyFill="1" applyBorder="1" applyAlignment="1" applyProtection="1">
      <alignment horizontal="center" vertical="center"/>
      <protection locked="0"/>
    </xf>
    <xf numFmtId="165" fontId="1" fillId="0" borderId="0" xfId="28" applyNumberFormat="1" applyFill="1" applyBorder="1" applyAlignment="1" applyProtection="1">
      <alignment horizontal="center" vertical="center"/>
      <protection hidden="1"/>
    </xf>
    <xf numFmtId="44" fontId="13" fillId="0" borderId="0" xfId="29" applyFont="1"/>
    <xf numFmtId="0" fontId="1" fillId="0" borderId="0" xfId="0" applyFont="1"/>
    <xf numFmtId="0" fontId="9" fillId="0" borderId="0" xfId="0" applyFont="1" applyAlignment="1">
      <alignment vertical="top"/>
    </xf>
    <xf numFmtId="0" fontId="62" fillId="0" borderId="0" xfId="0" applyFont="1"/>
    <xf numFmtId="0" fontId="62" fillId="0" borderId="0" xfId="0" applyFont="1" applyFill="1"/>
    <xf numFmtId="0" fontId="63" fillId="0" borderId="0" xfId="0" applyFont="1" applyAlignment="1">
      <alignment horizontal="center"/>
    </xf>
    <xf numFmtId="0" fontId="34" fillId="26" borderId="33" xfId="0" applyFont="1" applyFill="1" applyBorder="1" applyAlignment="1">
      <alignment horizontal="right"/>
    </xf>
    <xf numFmtId="0" fontId="2" fillId="27" borderId="34" xfId="0" applyFont="1" applyFill="1" applyBorder="1" applyAlignment="1">
      <alignment horizontal="center"/>
    </xf>
    <xf numFmtId="0" fontId="34" fillId="26" borderId="35" xfId="0" applyFont="1" applyFill="1" applyBorder="1" applyAlignment="1">
      <alignment horizontal="right"/>
    </xf>
    <xf numFmtId="0" fontId="2" fillId="27" borderId="31" xfId="0" applyFont="1" applyFill="1" applyBorder="1" applyAlignment="1">
      <alignment horizontal="center"/>
    </xf>
    <xf numFmtId="0" fontId="2" fillId="27" borderId="31" xfId="0" applyFont="1" applyFill="1" applyBorder="1" applyAlignment="1">
      <alignment horizontal="center" vertical="center"/>
    </xf>
    <xf numFmtId="0" fontId="30" fillId="34" borderId="31" xfId="0" applyFont="1" applyFill="1" applyBorder="1" applyAlignment="1">
      <alignment horizontal="left" vertical="center" indent="1"/>
    </xf>
    <xf numFmtId="0" fontId="34" fillId="26" borderId="36" xfId="0" applyFont="1" applyFill="1" applyBorder="1" applyAlignment="1">
      <alignment horizontal="right"/>
    </xf>
    <xf numFmtId="0" fontId="31" fillId="27" borderId="14" xfId="0" applyFont="1" applyFill="1" applyBorder="1" applyAlignment="1">
      <alignment horizontal="center" vertical="center"/>
    </xf>
    <xf numFmtId="14" fontId="12" fillId="0" borderId="0" xfId="0" applyNumberFormat="1" applyFont="1"/>
    <xf numFmtId="14" fontId="12" fillId="0" borderId="0" xfId="0" applyNumberFormat="1" applyFont="1" applyBorder="1"/>
    <xf numFmtId="0" fontId="66" fillId="0" borderId="0" xfId="0" applyFont="1" applyFill="1" applyAlignment="1">
      <alignment horizontal="center"/>
    </xf>
    <xf numFmtId="0" fontId="68" fillId="0" borderId="0" xfId="0" applyFont="1" applyAlignment="1">
      <alignment vertical="center"/>
    </xf>
    <xf numFmtId="0" fontId="68" fillId="0" borderId="0" xfId="0" applyFont="1" applyAlignment="1">
      <alignment horizontal="left" vertical="center"/>
    </xf>
    <xf numFmtId="0" fontId="68" fillId="0" borderId="0" xfId="0" applyFont="1"/>
    <xf numFmtId="0" fontId="67" fillId="0" borderId="0" xfId="0" applyFont="1" applyAlignment="1">
      <alignment horizontal="left" vertical="center" indent="1"/>
    </xf>
    <xf numFmtId="0" fontId="69" fillId="0" borderId="0" xfId="0" applyFont="1" applyAlignment="1">
      <alignment vertical="center"/>
    </xf>
    <xf numFmtId="0" fontId="68" fillId="0" borderId="10" xfId="0" applyFont="1" applyBorder="1" applyAlignment="1">
      <alignment horizontal="left" vertical="center" indent="1"/>
    </xf>
    <xf numFmtId="0" fontId="68" fillId="36" borderId="12" xfId="0" applyFont="1" applyFill="1" applyBorder="1" applyAlignment="1">
      <alignment horizontal="left" vertical="center" indent="1"/>
    </xf>
    <xf numFmtId="0" fontId="68" fillId="36" borderId="10" xfId="0" applyFont="1" applyFill="1" applyBorder="1" applyAlignment="1">
      <alignment horizontal="left" vertical="center" indent="1"/>
    </xf>
    <xf numFmtId="0" fontId="68" fillId="36" borderId="12" xfId="0" applyFont="1" applyFill="1" applyBorder="1" applyAlignment="1">
      <alignment horizontal="center" vertical="center"/>
    </xf>
    <xf numFmtId="0" fontId="68" fillId="36" borderId="10" xfId="0" applyFont="1" applyFill="1" applyBorder="1" applyAlignment="1">
      <alignment horizontal="center" vertical="center"/>
    </xf>
    <xf numFmtId="0" fontId="12" fillId="0" borderId="0" xfId="0" applyFont="1" applyAlignment="1">
      <alignment horizontal="right"/>
    </xf>
    <xf numFmtId="0" fontId="68" fillId="38" borderId="10" xfId="0" applyFont="1" applyFill="1" applyBorder="1" applyAlignment="1">
      <alignment horizontal="center" vertical="center"/>
    </xf>
    <xf numFmtId="0" fontId="70" fillId="35" borderId="37" xfId="0" applyFont="1" applyFill="1" applyBorder="1" applyAlignment="1">
      <alignment vertical="center"/>
    </xf>
    <xf numFmtId="0" fontId="70" fillId="35" borderId="37" xfId="0" applyFont="1" applyFill="1" applyBorder="1" applyAlignment="1">
      <alignment horizontal="center" vertical="center"/>
    </xf>
    <xf numFmtId="0" fontId="70" fillId="35" borderId="37" xfId="0" applyFont="1" applyFill="1" applyBorder="1" applyAlignment="1">
      <alignment horizontal="left" vertical="center" indent="1"/>
    </xf>
    <xf numFmtId="0" fontId="67" fillId="38" borderId="10" xfId="0" applyFont="1" applyFill="1" applyBorder="1" applyAlignment="1">
      <alignment horizontal="center" vertical="center"/>
    </xf>
    <xf numFmtId="0" fontId="67" fillId="38" borderId="12" xfId="0" applyFont="1" applyFill="1" applyBorder="1" applyAlignment="1">
      <alignment horizontal="left" vertical="center" indent="1"/>
    </xf>
    <xf numFmtId="0" fontId="67" fillId="38" borderId="12" xfId="0" applyFont="1" applyFill="1" applyBorder="1" applyAlignment="1">
      <alignment horizontal="center" vertical="center"/>
    </xf>
    <xf numFmtId="0" fontId="2" fillId="24" borderId="0" xfId="0" applyFont="1" applyFill="1" applyBorder="1" applyAlignment="1">
      <alignment horizontal="center" vertical="center"/>
    </xf>
    <xf numFmtId="0" fontId="2" fillId="0" borderId="0" xfId="0" applyFont="1" applyFill="1" applyBorder="1" applyAlignment="1">
      <alignment horizontal="left" indent="2"/>
    </xf>
    <xf numFmtId="0" fontId="2" fillId="39" borderId="10" xfId="0" applyFont="1" applyFill="1" applyBorder="1" applyAlignment="1">
      <alignment horizontal="center"/>
    </xf>
    <xf numFmtId="0" fontId="73" fillId="40" borderId="0" xfId="0" applyFont="1" applyFill="1" applyAlignment="1">
      <alignment vertical="center" wrapText="1"/>
    </xf>
    <xf numFmtId="0" fontId="68" fillId="41" borderId="10" xfId="0" applyFont="1" applyFill="1" applyBorder="1" applyAlignment="1">
      <alignment horizontal="left" vertical="center" indent="1"/>
    </xf>
    <xf numFmtId="0" fontId="68" fillId="41" borderId="12" xfId="0" applyFont="1" applyFill="1" applyBorder="1" applyAlignment="1">
      <alignment horizontal="center" vertical="center"/>
    </xf>
    <xf numFmtId="0" fontId="68" fillId="41" borderId="10" xfId="0" applyFont="1" applyFill="1" applyBorder="1" applyAlignment="1">
      <alignment horizontal="center" vertical="center"/>
    </xf>
    <xf numFmtId="0" fontId="1" fillId="0" borderId="0" xfId="0" applyFont="1" applyAlignment="1">
      <alignment horizontal="left"/>
    </xf>
    <xf numFmtId="0" fontId="30" fillId="0" borderId="0" xfId="0" applyFont="1" applyFill="1" applyBorder="1" applyAlignment="1">
      <alignment horizontal="left" vertical="center" indent="1"/>
    </xf>
    <xf numFmtId="0" fontId="2" fillId="27" borderId="12" xfId="0" applyFont="1" applyFill="1" applyBorder="1" applyAlignment="1">
      <alignment horizontal="center" vertical="center"/>
    </xf>
    <xf numFmtId="0" fontId="1" fillId="0" borderId="24" xfId="0" applyFont="1" applyBorder="1" applyAlignment="1">
      <alignment horizontal="right"/>
    </xf>
    <xf numFmtId="0" fontId="75" fillId="34" borderId="31" xfId="0" applyFont="1" applyFill="1" applyBorder="1" applyAlignment="1">
      <alignment horizontal="left" vertical="center" indent="1"/>
    </xf>
    <xf numFmtId="0" fontId="12" fillId="0" borderId="0" xfId="0" applyFont="1"/>
    <xf numFmtId="0" fontId="1" fillId="31" borderId="12" xfId="0" applyNumberFormat="1" applyFont="1" applyFill="1" applyBorder="1" applyAlignment="1">
      <alignment horizontal="center"/>
    </xf>
    <xf numFmtId="0" fontId="0" fillId="0" borderId="27" xfId="0" applyBorder="1"/>
    <xf numFmtId="0" fontId="0" fillId="0" borderId="38" xfId="0" applyBorder="1"/>
    <xf numFmtId="0" fontId="0" fillId="0" borderId="28" xfId="0" applyBorder="1"/>
    <xf numFmtId="0" fontId="0" fillId="0" borderId="25" xfId="0" applyBorder="1"/>
    <xf numFmtId="0" fontId="0" fillId="0" borderId="26" xfId="0" applyBorder="1"/>
    <xf numFmtId="0" fontId="0" fillId="0" borderId="29" xfId="0" applyBorder="1"/>
    <xf numFmtId="0" fontId="0" fillId="0" borderId="39" xfId="0" applyBorder="1"/>
    <xf numFmtId="0" fontId="0" fillId="0" borderId="30" xfId="0" applyBorder="1"/>
    <xf numFmtId="0" fontId="0" fillId="25" borderId="10" xfId="0" applyFill="1" applyBorder="1" applyAlignment="1">
      <alignment horizontal="center" vertical="center"/>
    </xf>
    <xf numFmtId="0" fontId="2" fillId="25" borderId="10" xfId="0" applyFont="1" applyFill="1" applyBorder="1" applyAlignment="1">
      <alignment horizontal="center" vertical="center"/>
    </xf>
    <xf numFmtId="0" fontId="74" fillId="0" borderId="0" xfId="0" applyFont="1" applyFill="1" applyAlignment="1">
      <alignment vertical="center"/>
    </xf>
    <xf numFmtId="0" fontId="1" fillId="0" borderId="0" xfId="0" applyFont="1" applyFill="1" applyAlignment="1">
      <alignment vertical="center"/>
    </xf>
    <xf numFmtId="14" fontId="12" fillId="0" borderId="0" xfId="0" applyNumberFormat="1" applyFont="1" applyAlignment="1">
      <alignment horizontal="right"/>
    </xf>
    <xf numFmtId="0" fontId="75" fillId="0" borderId="0" xfId="0" applyFont="1" applyBorder="1" applyAlignment="1">
      <alignment horizontal="center" vertical="center"/>
    </xf>
    <xf numFmtId="0" fontId="81" fillId="0" borderId="0" xfId="0" applyFont="1" applyBorder="1" applyAlignment="1">
      <alignment horizontal="center" vertical="center"/>
    </xf>
    <xf numFmtId="0" fontId="2" fillId="0" borderId="10" xfId="0" applyFont="1" applyBorder="1"/>
    <xf numFmtId="0" fontId="0" fillId="45" borderId="0" xfId="0" applyFill="1"/>
    <xf numFmtId="0" fontId="1" fillId="0" borderId="0" xfId="0" applyNumberFormat="1" applyFont="1"/>
    <xf numFmtId="0" fontId="1" fillId="43" borderId="10" xfId="0" applyFont="1" applyFill="1" applyBorder="1" applyAlignment="1">
      <alignment horizontal="center"/>
    </xf>
    <xf numFmtId="0" fontId="2" fillId="43" borderId="10" xfId="0" applyFont="1" applyFill="1" applyBorder="1" applyAlignment="1">
      <alignment horizontal="center"/>
    </xf>
    <xf numFmtId="44" fontId="1" fillId="38" borderId="10" xfId="29" applyFont="1" applyFill="1" applyBorder="1" applyAlignment="1">
      <alignment horizontal="left"/>
    </xf>
    <xf numFmtId="0" fontId="34" fillId="44" borderId="35" xfId="0" applyFont="1" applyFill="1" applyBorder="1" applyAlignment="1">
      <alignment horizontal="right"/>
    </xf>
    <xf numFmtId="0" fontId="84" fillId="42" borderId="31" xfId="45" applyFill="1" applyBorder="1" applyAlignment="1">
      <alignment horizontal="center" vertical="center"/>
    </xf>
    <xf numFmtId="0" fontId="68" fillId="0" borderId="0" xfId="0" applyFont="1" applyAlignment="1">
      <alignment horizontal="center" vertical="center"/>
    </xf>
    <xf numFmtId="0" fontId="12" fillId="0" borderId="0" xfId="0" applyFont="1"/>
    <xf numFmtId="0" fontId="66" fillId="0" borderId="0" xfId="0" applyFont="1" applyAlignment="1">
      <alignment horizontal="center" vertical="center" wrapText="1"/>
    </xf>
    <xf numFmtId="0" fontId="13" fillId="0" borderId="0" xfId="0" applyFont="1" applyFill="1" applyBorder="1"/>
    <xf numFmtId="0" fontId="77" fillId="0" borderId="0" xfId="0" applyFont="1" applyFill="1" applyBorder="1" applyAlignment="1">
      <alignment horizontal="center" vertical="center"/>
    </xf>
    <xf numFmtId="0" fontId="85" fillId="0" borderId="0" xfId="0" applyFont="1" applyFill="1" applyBorder="1" applyAlignment="1">
      <alignment horizontal="left"/>
    </xf>
    <xf numFmtId="0" fontId="86" fillId="43" borderId="13" xfId="0" quotePrefix="1" applyFont="1" applyFill="1" applyBorder="1" applyAlignment="1">
      <alignment horizontal="center" vertical="center" wrapText="1"/>
    </xf>
    <xf numFmtId="0" fontId="1" fillId="43" borderId="32" xfId="0" applyFont="1" applyFill="1" applyBorder="1" applyAlignment="1">
      <alignment horizontal="center"/>
    </xf>
    <xf numFmtId="0" fontId="2" fillId="43" borderId="32" xfId="0" applyFont="1" applyFill="1" applyBorder="1" applyAlignment="1">
      <alignment horizontal="center"/>
    </xf>
    <xf numFmtId="0" fontId="86" fillId="43" borderId="27" xfId="0" applyFont="1" applyFill="1" applyBorder="1" applyAlignment="1">
      <alignment horizontal="center" vertical="center"/>
    </xf>
    <xf numFmtId="0" fontId="86" fillId="43" borderId="40" xfId="0" quotePrefix="1" applyFont="1" applyFill="1" applyBorder="1"/>
    <xf numFmtId="0" fontId="86" fillId="43" borderId="42" xfId="0" applyFont="1" applyFill="1" applyBorder="1" applyAlignment="1">
      <alignment horizontal="center" vertical="center"/>
    </xf>
    <xf numFmtId="0" fontId="86" fillId="43" borderId="29" xfId="0" applyFont="1" applyFill="1" applyBorder="1" applyAlignment="1">
      <alignment horizontal="center" vertical="center"/>
    </xf>
    <xf numFmtId="0" fontId="12" fillId="47" borderId="0" xfId="0" applyFont="1" applyFill="1"/>
    <xf numFmtId="0" fontId="30" fillId="0" borderId="0" xfId="0" applyFont="1"/>
    <xf numFmtId="0" fontId="87" fillId="43" borderId="43" xfId="0" quotePrefix="1" applyFont="1" applyFill="1" applyBorder="1" applyAlignment="1">
      <alignment horizontal="center" vertical="center" wrapText="1"/>
    </xf>
    <xf numFmtId="0" fontId="62" fillId="0" borderId="0" xfId="0" quotePrefix="1" applyFont="1"/>
    <xf numFmtId="166" fontId="0" fillId="0" borderId="0" xfId="0" applyNumberFormat="1"/>
    <xf numFmtId="166" fontId="12" fillId="0" borderId="0" xfId="0" applyNumberFormat="1" applyFont="1"/>
    <xf numFmtId="0" fontId="13" fillId="44" borderId="31" xfId="0" applyFont="1" applyFill="1" applyBorder="1" applyAlignment="1">
      <alignment horizontal="left" vertical="center" indent="1"/>
    </xf>
    <xf numFmtId="12" fontId="0" fillId="0" borderId="0" xfId="0" applyNumberFormat="1"/>
    <xf numFmtId="0" fontId="2" fillId="0" borderId="10" xfId="0" applyFont="1" applyBorder="1"/>
    <xf numFmtId="0" fontId="0" fillId="37" borderId="10" xfId="0" applyFill="1" applyBorder="1" applyAlignment="1">
      <alignment vertical="center"/>
    </xf>
    <xf numFmtId="0" fontId="3" fillId="42" borderId="47" xfId="0" applyFont="1" applyFill="1" applyBorder="1" applyAlignment="1">
      <alignment horizontal="right" vertical="center" indent="1"/>
    </xf>
    <xf numFmtId="0" fontId="65" fillId="42" borderId="48" xfId="0" applyFont="1" applyFill="1" applyBorder="1" applyAlignment="1">
      <alignment horizontal="center" vertical="center"/>
    </xf>
    <xf numFmtId="0" fontId="2" fillId="41" borderId="45" xfId="0" applyFont="1" applyFill="1" applyBorder="1" applyAlignment="1">
      <alignment horizontal="right" vertical="center" indent="1"/>
    </xf>
    <xf numFmtId="0" fontId="65" fillId="39" borderId="48" xfId="0" applyFont="1" applyFill="1" applyBorder="1" applyAlignment="1" applyProtection="1">
      <alignment horizontal="center" vertical="center"/>
      <protection locked="0"/>
    </xf>
    <xf numFmtId="0" fontId="2" fillId="42" borderId="47" xfId="0" applyFont="1" applyFill="1" applyBorder="1" applyAlignment="1">
      <alignment horizontal="right" vertical="center" indent="1"/>
    </xf>
    <xf numFmtId="0" fontId="79" fillId="42" borderId="48" xfId="0" applyFont="1" applyFill="1" applyBorder="1" applyAlignment="1">
      <alignment horizontal="center" vertical="center"/>
    </xf>
    <xf numFmtId="0" fontId="0" fillId="31" borderId="49" xfId="0" applyFill="1" applyBorder="1" applyAlignment="1">
      <alignment horizontal="center"/>
    </xf>
    <xf numFmtId="0" fontId="2" fillId="41" borderId="47" xfId="0" applyFont="1" applyFill="1" applyBorder="1" applyAlignment="1">
      <alignment horizontal="right" vertical="center" indent="1"/>
    </xf>
    <xf numFmtId="0" fontId="2" fillId="39" borderId="48" xfId="0" applyFont="1" applyFill="1" applyBorder="1" applyAlignment="1" applyProtection="1">
      <alignment horizontal="center" vertical="center"/>
      <protection locked="0"/>
    </xf>
    <xf numFmtId="0" fontId="2" fillId="0" borderId="0" xfId="0" applyFont="1" applyFill="1" applyBorder="1" applyAlignment="1">
      <alignment horizontal="left"/>
    </xf>
    <xf numFmtId="0" fontId="82" fillId="0" borderId="0" xfId="0" applyFont="1" applyFill="1" applyBorder="1" applyAlignment="1">
      <alignment horizontal="right" vertical="center" indent="9"/>
    </xf>
    <xf numFmtId="0" fontId="80" fillId="0" borderId="0" xfId="0" applyFont="1" applyFill="1" applyBorder="1" applyAlignment="1">
      <alignment horizontal="center" vertical="center"/>
    </xf>
    <xf numFmtId="0" fontId="1" fillId="0" borderId="0" xfId="0" applyFont="1" applyAlignment="1">
      <alignment horizontal="left" indent="1"/>
    </xf>
    <xf numFmtId="0" fontId="0" fillId="0" borderId="0" xfId="0" applyAlignment="1">
      <alignment horizontal="left" indent="1"/>
    </xf>
    <xf numFmtId="0" fontId="88" fillId="42" borderId="45" xfId="0" applyFont="1" applyFill="1" applyBorder="1" applyAlignment="1">
      <alignment horizontal="center" vertical="center"/>
    </xf>
    <xf numFmtId="0" fontId="88" fillId="42" borderId="46" xfId="0" applyFont="1" applyFill="1" applyBorder="1" applyAlignment="1">
      <alignment horizontal="center" vertical="center"/>
    </xf>
    <xf numFmtId="0" fontId="76" fillId="0" borderId="0" xfId="0" applyFont="1" applyFill="1" applyBorder="1" applyAlignment="1">
      <alignment horizontal="center" vertical="center"/>
    </xf>
    <xf numFmtId="0" fontId="76" fillId="0" borderId="0" xfId="0" applyFont="1" applyBorder="1" applyAlignment="1">
      <alignment horizontal="center" vertical="center"/>
    </xf>
    <xf numFmtId="0" fontId="1" fillId="0" borderId="0" xfId="0" applyFont="1" applyAlignment="1">
      <alignment horizontal="center" vertical="top" wrapText="1"/>
    </xf>
    <xf numFmtId="0" fontId="74" fillId="46" borderId="41" xfId="0" quotePrefix="1" applyFont="1" applyFill="1" applyBorder="1" applyAlignment="1">
      <alignment horizontal="left" vertical="center"/>
    </xf>
    <xf numFmtId="0" fontId="74" fillId="46" borderId="28" xfId="0" quotePrefix="1" applyFont="1" applyFill="1" applyBorder="1" applyAlignment="1">
      <alignment horizontal="left" vertical="center"/>
    </xf>
    <xf numFmtId="0" fontId="74" fillId="46" borderId="21" xfId="0" quotePrefix="1" applyFont="1" applyFill="1" applyBorder="1" applyAlignment="1">
      <alignment horizontal="left" vertical="center"/>
    </xf>
    <xf numFmtId="0" fontId="74" fillId="46" borderId="26" xfId="0" quotePrefix="1" applyFont="1" applyFill="1" applyBorder="1" applyAlignment="1">
      <alignment horizontal="left" vertical="center"/>
    </xf>
    <xf numFmtId="0" fontId="74" fillId="46" borderId="44" xfId="0" quotePrefix="1" applyFont="1" applyFill="1" applyBorder="1" applyAlignment="1">
      <alignment horizontal="left" vertical="center"/>
    </xf>
    <xf numFmtId="0" fontId="74" fillId="46" borderId="30" xfId="0" quotePrefix="1" applyFont="1" applyFill="1" applyBorder="1" applyAlignment="1">
      <alignment horizontal="left" vertical="center"/>
    </xf>
    <xf numFmtId="0" fontId="0" fillId="0" borderId="10" xfId="0" applyBorder="1" applyAlignment="1">
      <alignment horizontal="right"/>
    </xf>
    <xf numFmtId="0" fontId="2" fillId="0" borderId="10" xfId="0" applyFont="1" applyBorder="1"/>
    <xf numFmtId="0" fontId="2" fillId="0" borderId="17" xfId="0" applyFont="1" applyBorder="1" applyAlignment="1">
      <alignment horizontal="center"/>
    </xf>
    <xf numFmtId="0" fontId="2" fillId="0" borderId="16" xfId="0" applyFont="1" applyBorder="1" applyAlignment="1">
      <alignment horizontal="center"/>
    </xf>
    <xf numFmtId="0" fontId="2" fillId="0" borderId="11" xfId="0" applyFont="1" applyBorder="1" applyAlignment="1">
      <alignment horizontal="center"/>
    </xf>
    <xf numFmtId="164" fontId="0" fillId="0" borderId="10" xfId="0" applyNumberFormat="1" applyBorder="1" applyAlignment="1">
      <alignment horizontal="center"/>
    </xf>
    <xf numFmtId="0" fontId="0" fillId="0" borderId="10" xfId="0" applyBorder="1"/>
    <xf numFmtId="0" fontId="0" fillId="31" borderId="0" xfId="0" applyFill="1"/>
    <xf numFmtId="0" fontId="0" fillId="31" borderId="10" xfId="0" applyFill="1" applyBorder="1"/>
    <xf numFmtId="0" fontId="2" fillId="0" borderId="10" xfId="0" applyFont="1" applyBorder="1" applyAlignment="1">
      <alignment horizontal="right"/>
    </xf>
    <xf numFmtId="0" fontId="0" fillId="0" borderId="21" xfId="0" applyBorder="1" applyAlignment="1">
      <alignment horizontal="left" wrapText="1" indent="1"/>
    </xf>
    <xf numFmtId="0" fontId="0" fillId="0" borderId="0" xfId="0" applyBorder="1" applyAlignment="1">
      <alignment horizontal="left" wrapText="1" indent="1"/>
    </xf>
    <xf numFmtId="0" fontId="0" fillId="0" borderId="22" xfId="0" applyBorder="1" applyAlignment="1">
      <alignment horizontal="left" wrapText="1" indent="1"/>
    </xf>
    <xf numFmtId="0" fontId="0" fillId="0" borderId="18" xfId="0" applyBorder="1" applyAlignment="1">
      <alignment wrapText="1"/>
    </xf>
    <xf numFmtId="0" fontId="0" fillId="0" borderId="19" xfId="0" applyBorder="1" applyAlignment="1">
      <alignment wrapText="1"/>
    </xf>
    <xf numFmtId="0" fontId="0" fillId="0" borderId="20" xfId="0" applyBorder="1" applyAlignment="1">
      <alignment wrapText="1"/>
    </xf>
    <xf numFmtId="0" fontId="58" fillId="0" borderId="21" xfId="0" applyFont="1" applyBorder="1" applyAlignment="1">
      <alignment vertical="center" wrapText="1"/>
    </xf>
    <xf numFmtId="0" fontId="58" fillId="0" borderId="0" xfId="0" applyFont="1" applyBorder="1" applyAlignment="1">
      <alignment vertical="center" wrapText="1"/>
    </xf>
    <xf numFmtId="0" fontId="58" fillId="0" borderId="22" xfId="0" applyFont="1" applyBorder="1" applyAlignment="1">
      <alignment vertical="center" wrapText="1"/>
    </xf>
    <xf numFmtId="0" fontId="0" fillId="0" borderId="21" xfId="0" applyBorder="1" applyAlignment="1">
      <alignment wrapText="1"/>
    </xf>
    <xf numFmtId="0" fontId="0" fillId="0" borderId="0" xfId="0" applyBorder="1" applyAlignment="1">
      <alignment wrapText="1"/>
    </xf>
    <xf numFmtId="0" fontId="0" fillId="0" borderId="22" xfId="0" applyBorder="1" applyAlignment="1">
      <alignment wrapText="1"/>
    </xf>
    <xf numFmtId="0" fontId="57" fillId="0" borderId="21" xfId="0" applyFont="1" applyBorder="1" applyAlignment="1">
      <alignment horizontal="left" vertical="center" wrapText="1" indent="1"/>
    </xf>
    <xf numFmtId="0" fontId="57" fillId="0" borderId="0" xfId="0" applyFont="1" applyBorder="1" applyAlignment="1">
      <alignment horizontal="left" vertical="center" wrapText="1" indent="1"/>
    </xf>
    <xf numFmtId="0" fontId="57" fillId="0" borderId="22" xfId="0" applyFont="1" applyBorder="1" applyAlignment="1">
      <alignment horizontal="left" vertical="center" wrapText="1" indent="1"/>
    </xf>
    <xf numFmtId="0" fontId="60" fillId="0" borderId="21" xfId="0" applyFont="1" applyBorder="1" applyAlignment="1">
      <alignment horizontal="left" vertical="center" wrapText="1" indent="1"/>
    </xf>
    <xf numFmtId="0" fontId="60" fillId="0" borderId="0" xfId="0" applyFont="1" applyBorder="1" applyAlignment="1">
      <alignment horizontal="left" vertical="center" wrapText="1" indent="1"/>
    </xf>
    <xf numFmtId="0" fontId="60" fillId="0" borderId="22" xfId="0" applyFont="1" applyBorder="1" applyAlignment="1">
      <alignment horizontal="left" vertical="center" wrapText="1" indent="1"/>
    </xf>
    <xf numFmtId="0" fontId="0" fillId="0" borderId="23" xfId="0" applyBorder="1" applyAlignment="1">
      <alignment wrapText="1"/>
    </xf>
    <xf numFmtId="0" fontId="0" fillId="0" borderId="15" xfId="0" applyBorder="1" applyAlignment="1">
      <alignment wrapText="1"/>
    </xf>
    <xf numFmtId="0" fontId="0" fillId="0" borderId="13" xfId="0" applyBorder="1" applyAlignment="1">
      <alignment wrapText="1"/>
    </xf>
    <xf numFmtId="0" fontId="78" fillId="0" borderId="25" xfId="0" applyFont="1" applyBorder="1" applyAlignment="1">
      <alignment horizontal="center" vertical="center" readingOrder="1"/>
    </xf>
    <xf numFmtId="0" fontId="78" fillId="0" borderId="0" xfId="0" applyFont="1" applyBorder="1" applyAlignment="1">
      <alignment horizontal="center" vertical="center" readingOrder="1"/>
    </xf>
    <xf numFmtId="0" fontId="78" fillId="0" borderId="26" xfId="0" applyFont="1" applyBorder="1" applyAlignment="1">
      <alignment horizontal="center" vertical="center" readingOrder="1"/>
    </xf>
    <xf numFmtId="0" fontId="67" fillId="0" borderId="0" xfId="0" applyFont="1" applyAlignment="1">
      <alignment horizontal="center" vertical="center"/>
    </xf>
    <xf numFmtId="0" fontId="28" fillId="0" borderId="15" xfId="0" applyFont="1" applyBorder="1" applyAlignment="1">
      <alignment horizontal="center"/>
    </xf>
    <xf numFmtId="0" fontId="12" fillId="0" borderId="0" xfId="0" applyFont="1"/>
    <xf numFmtId="0" fontId="12" fillId="0" borderId="0" xfId="0" applyFont="1" applyFill="1" applyBorder="1" applyAlignment="1">
      <alignment horizontal="left"/>
    </xf>
  </cellXfs>
  <cellStyles count="46">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Currency" xfId="29" builtinId="4"/>
    <cellStyle name="Explanatory Text" xfId="30" builtinId="53" customBuiltin="1"/>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cellStyle name="Input" xfId="36" builtinId="20" customBuiltin="1"/>
    <cellStyle name="Linked Cell" xfId="37" builtinId="24" customBuiltin="1"/>
    <cellStyle name="Neutral" xfId="38" builtinId="28" customBuiltin="1"/>
    <cellStyle name="Normal" xfId="0" builtinId="0"/>
    <cellStyle name="Note" xfId="39" builtinId="10" customBuiltin="1"/>
    <cellStyle name="Output" xfId="40" builtinId="21" customBuiltin="1"/>
    <cellStyle name="Percent" xfId="41" builtinId="5"/>
    <cellStyle name="Title" xfId="42" builtinId="15" customBuiltin="1"/>
    <cellStyle name="Total" xfId="43" builtinId="25" customBuiltin="1"/>
    <cellStyle name="Warning Text" xfId="44" builtinId="11" customBuiltin="1"/>
  </cellStyles>
  <dxfs count="16">
    <dxf>
      <font>
        <b/>
        <i val="0"/>
        <condense val="0"/>
        <extend val="0"/>
      </font>
    </dxf>
    <dxf>
      <font>
        <b/>
        <i val="0"/>
        <condense val="0"/>
        <extend val="0"/>
      </font>
    </dxf>
    <dxf>
      <font>
        <b/>
        <i val="0"/>
        <condense val="0"/>
        <extend val="0"/>
      </font>
    </dxf>
    <dxf>
      <font>
        <condense val="0"/>
        <extend val="0"/>
        <color indexed="55"/>
      </font>
    </dxf>
    <dxf>
      <font>
        <b/>
        <i val="0"/>
        <condense val="0"/>
        <extend val="0"/>
      </font>
    </dxf>
    <dxf>
      <font>
        <b/>
        <i val="0"/>
        <condense val="0"/>
        <extend val="0"/>
      </font>
    </dxf>
    <dxf>
      <font>
        <b/>
        <i val="0"/>
        <condense val="0"/>
        <extend val="0"/>
      </font>
    </dxf>
    <dxf>
      <font>
        <b val="0"/>
        <i val="0"/>
        <strike val="0"/>
        <color theme="3"/>
      </font>
      <numFmt numFmtId="0" formatCode="General"/>
      <fill>
        <patternFill>
          <bgColor theme="9" tint="0.39994506668294322"/>
        </patternFill>
      </fill>
      <border>
        <left style="thin">
          <color auto="1"/>
        </left>
        <right style="thin">
          <color auto="1"/>
        </right>
        <top style="thin">
          <color auto="1"/>
        </top>
        <bottom style="thin">
          <color auto="1"/>
        </bottom>
      </border>
    </dxf>
    <dxf>
      <font>
        <color rgb="FF00B050"/>
      </font>
    </dxf>
    <dxf>
      <font>
        <color theme="1"/>
      </font>
      <fill>
        <patternFill>
          <bgColor rgb="FFFFFF00"/>
        </patternFill>
      </fill>
      <border>
        <left/>
        <right/>
        <top/>
        <bottom/>
        <vertical/>
        <horizontal/>
      </border>
    </dxf>
    <dxf>
      <font>
        <color theme="1" tint="0.34998626667073579"/>
      </font>
      <fill>
        <patternFill>
          <bgColor theme="0" tint="-0.499984740745262"/>
        </patternFill>
      </fill>
    </dxf>
    <dxf>
      <font>
        <color theme="1" tint="0.34998626667073579"/>
      </font>
      <fill>
        <patternFill>
          <bgColor theme="0" tint="-0.499984740745262"/>
        </patternFill>
      </fill>
    </dxf>
    <dxf>
      <font>
        <b/>
        <i val="0"/>
        <condense val="0"/>
        <extend val="0"/>
        <color indexed="44"/>
      </font>
      <fill>
        <patternFill>
          <bgColor indexed="9"/>
        </patternFill>
      </fill>
      <border>
        <left style="thin">
          <color indexed="64"/>
        </left>
        <right style="thin">
          <color indexed="64"/>
        </right>
        <top style="thin">
          <color indexed="64"/>
        </top>
        <bottom style="thin">
          <color indexed="64"/>
        </bottom>
      </border>
    </dxf>
    <dxf>
      <font>
        <b/>
        <i val="0"/>
        <condense val="0"/>
        <extend val="0"/>
        <color indexed="55"/>
      </font>
      <fill>
        <patternFill>
          <bgColor indexed="8"/>
        </patternFill>
      </fill>
      <border>
        <left style="thin">
          <color indexed="64"/>
        </left>
        <right style="thin">
          <color indexed="64"/>
        </right>
        <top style="thin">
          <color indexed="64"/>
        </top>
        <bottom style="thin">
          <color indexed="64"/>
        </bottom>
      </border>
    </dxf>
    <dxf>
      <font>
        <b/>
        <i val="0"/>
        <condense val="0"/>
        <extend val="0"/>
      </font>
      <fill>
        <patternFill>
          <bgColor indexed="15"/>
        </patternFill>
      </fill>
      <border>
        <left style="thin">
          <color indexed="64"/>
        </left>
        <right style="thin">
          <color indexed="64"/>
        </right>
        <top style="thin">
          <color indexed="64"/>
        </top>
        <bottom style="thin">
          <color indexed="64"/>
        </bottom>
      </border>
    </dxf>
    <dxf>
      <font>
        <b/>
        <i val="0"/>
        <condense val="0"/>
        <extend val="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BF9C7"/>
      <rgbColor rgb="003366FF"/>
      <rgbColor rgb="0033CCCC"/>
      <rgbColor rgb="0099CC00"/>
      <rgbColor rgb="00EBD35D"/>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Scroll" dx="15" fmlaLink="'Multiscope Display'!$D$54" horiz="1" max="5" min="1" page="0" val="3"/>
</file>

<file path=xl/ctrlProps/ctrlProp5.xml><?xml version="1.0" encoding="utf-8"?>
<formControlPr xmlns="http://schemas.microsoft.com/office/spreadsheetml/2009/9/main" objectType="CheckBox" fmlaLink="'Display Config'!$A$23" lockText="1"/>
</file>

<file path=xl/ctrlProps/ctrlProp6.xml><?xml version="1.0" encoding="utf-8"?>
<formControlPr xmlns="http://schemas.microsoft.com/office/spreadsheetml/2009/9/main" objectType="CheckBox" checked="Checked" fmlaLink="'Multiscope Display'!$D$63" lockText="1"/>
</file>

<file path=xl/ctrlProps/ctrlProp7.xml><?xml version="1.0" encoding="utf-8"?>
<formControlPr xmlns="http://schemas.microsoft.com/office/spreadsheetml/2009/9/main" objectType="CheckBox" checked="Checked" fmlaLink="'Multiscope Display'!$D$12" lockText="1"/>
</file>

<file path=xl/ctrlProps/ctrlProp8.xml><?xml version="1.0" encoding="utf-8"?>
<formControlPr xmlns="http://schemas.microsoft.com/office/spreadsheetml/2009/9/main" objectType="CheckBox" fmlaLink="'Multiscope Display'!$D$72" lockText="1"/>
</file>

<file path=xl/ctrlProps/ctrlProp9.xml><?xml version="1.0" encoding="utf-8"?>
<formControlPr xmlns="http://schemas.microsoft.com/office/spreadsheetml/2009/9/main" objectType="CheckBox" fmlaLink="'Multiscope Display'!$D$74" lockText="1"/>
</file>

<file path=xl/ctrlProps/ctrlProp10.xml><?xml version="1.0" encoding="utf-8"?>
<formControlPr xmlns="http://schemas.microsoft.com/office/spreadsheetml/2009/9/main" objectType="CheckBox" checked="Checked" fmlaLink="'Multiscope Display'!$D$65" lockText="1"/>
</file>

<file path=xl/ctrlProps/ctrlProp11.xml><?xml version="1.0" encoding="utf-8"?>
<formControlPr xmlns="http://schemas.microsoft.com/office/spreadsheetml/2009/9/main" objectType="CheckBox" fmlaLink="'Multiscope Display'!$D$22" lockText="1"/>
</file>

<file path=xl/ctrlProps/ctrlProp12.xml><?xml version="1.0" encoding="utf-8"?>
<formControlPr xmlns="http://schemas.microsoft.com/office/spreadsheetml/2009/9/main" objectType="CheckBox" fmlaLink="'Multiscope Display'!$D$24" lockText="1"/>
</file>

<file path=xl/ctrlProps/ctrlProp13.xml><?xml version="1.0" encoding="utf-8"?>
<formControlPr xmlns="http://schemas.microsoft.com/office/spreadsheetml/2009/9/main" objectType="CheckBox" fmlaLink="'Multiscope Display'!$D$25" lockText="1"/>
</file>

<file path=xl/ctrlProps/ctrlProp14.xml><?xml version="1.0" encoding="utf-8"?>
<formControlPr xmlns="http://schemas.microsoft.com/office/spreadsheetml/2009/9/main" objectType="CheckBox" fmlaLink="'Multiscope Display'!$D$69" lockText="1"/>
</file>

<file path=xl/ctrlProps/ctrlProp15.xml><?xml version="1.0" encoding="utf-8"?>
<formControlPr xmlns="http://schemas.microsoft.com/office/spreadsheetml/2009/9/main" objectType="CheckBox" checked="Checked" fmlaLink="'Multiscope Display'!$D$526" lockText="1"/>
</file>

<file path=xl/ctrlProps/ctrlProp16.xml><?xml version="1.0" encoding="utf-8"?>
<formControlPr xmlns="http://schemas.microsoft.com/office/spreadsheetml/2009/9/main" objectType="CheckBox" checked="Checked" fmlaLink="'Multiscope Display'!$D$63" lockText="1"/>
</file>

<file path=xl/ctrlProps/ctrlProp17.xml><?xml version="1.0" encoding="utf-8"?>
<formControlPr xmlns="http://schemas.microsoft.com/office/spreadsheetml/2009/9/main" objectType="CheckBox" checked="Checked" fmlaLink="'Multiscope Display'!$D$12" lockText="1"/>
</file>

<file path=xl/ctrlProps/ctrlProp18.xml><?xml version="1.0" encoding="utf-8"?>
<formControlPr xmlns="http://schemas.microsoft.com/office/spreadsheetml/2009/9/main" objectType="CheckBox" fmlaLink="'Multiscope Display'!$D$72" lockText="1"/>
</file>

<file path=xl/ctrlProps/ctrlProp19.xml><?xml version="1.0" encoding="utf-8"?>
<formControlPr xmlns="http://schemas.microsoft.com/office/spreadsheetml/2009/9/main" objectType="CheckBox" fmlaLink="'Multiscope Display'!$D$74" lockText="1"/>
</file>

<file path=xl/ctrlProps/ctrlProp20.xml><?xml version="1.0" encoding="utf-8"?>
<formControlPr xmlns="http://schemas.microsoft.com/office/spreadsheetml/2009/9/main" objectType="CheckBox" checked="Checked" fmlaLink="'Multiscope Display'!$D$65" lockText="1"/>
</file>

<file path=xl/ctrlProps/ctrlProp21.xml><?xml version="1.0" encoding="utf-8"?>
<formControlPr xmlns="http://schemas.microsoft.com/office/spreadsheetml/2009/9/main" objectType="CheckBox" fmlaLink="'Multiscope Display'!$D$24" lockText="1"/>
</file>

<file path=xl/ctrlProps/ctrlProp22.xml><?xml version="1.0" encoding="utf-8"?>
<formControlPr xmlns="http://schemas.microsoft.com/office/spreadsheetml/2009/9/main" objectType="CheckBox" fmlaLink="'Multiscope Display'!$D$25" lockText="1"/>
</file>

<file path=xl/ctrlProps/ctrlProp23.xml><?xml version="1.0" encoding="utf-8"?>
<formControlPr xmlns="http://schemas.microsoft.com/office/spreadsheetml/2009/9/main" objectType="CheckBox" fmlaLink="'Multiscope Display'!$D$69" lockText="1"/>
</file>

<file path=xl/ctrlProps/ctrlProp24.xml><?xml version="1.0" encoding="utf-8"?>
<formControlPr xmlns="http://schemas.microsoft.com/office/spreadsheetml/2009/9/main" objectType="CheckBox" checked="Checked" fmlaLink="'Multiscope Display'!$D$526" lockText="1"/>
</file>

<file path=xl/ctrlProps/ctrlProp25.xml><?xml version="1.0" encoding="utf-8"?>
<formControlPr xmlns="http://schemas.microsoft.com/office/spreadsheetml/2009/9/main" objectType="CheckBox" fmlaLink="'Multiscope Display'!$D$22"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CheckBox" fmlaLink="'Display Config'!$A$23" lockText="1"/>
</file>

<file path=xl/ctrlProps/ctrlProp2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1466850</xdr:colOff>
          <xdr:row>18</xdr:row>
          <xdr:rowOff>38100</xdr:rowOff>
        </xdr:from>
        <xdr:to>
          <xdr:col>7</xdr:col>
          <xdr:colOff>1533525</xdr:colOff>
          <xdr:row>20</xdr:row>
          <xdr:rowOff>133350</xdr:rowOff>
        </xdr:to>
        <xdr:sp macro="" textlink="">
          <xdr:nvSpPr>
            <xdr:cNvPr id="2052" name="Button 4" hidden="1">
              <a:extLst>
                <a:ext uri="{63B3BB69-23CF-44E3-9099-C40C66FF867C}">
                  <a14:compatExt spid="_x0000_s2052"/>
                </a:ext>
                <a:ext uri="{FF2B5EF4-FFF2-40B4-BE49-F238E27FC236}">
                  <a16:creationId xmlns=""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Create Configuration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89</xdr:row>
          <xdr:rowOff>9525</xdr:rowOff>
        </xdr:from>
        <xdr:to>
          <xdr:col>5</xdr:col>
          <xdr:colOff>1371600</xdr:colOff>
          <xdr:row>90</xdr:row>
          <xdr:rowOff>123825</xdr:rowOff>
        </xdr:to>
        <xdr:sp macro="" textlink="">
          <xdr:nvSpPr>
            <xdr:cNvPr id="2064" name="Button 16" hidden="1">
              <a:extLst>
                <a:ext uri="{63B3BB69-23CF-44E3-9099-C40C66FF867C}">
                  <a14:compatExt spid="_x0000_s2064"/>
                </a:ext>
                <a:ext uri="{FF2B5EF4-FFF2-40B4-BE49-F238E27FC236}">
                  <a16:creationId xmlns="" xmlns:a16="http://schemas.microsoft.com/office/drawing/2014/main" id="{00000000-0008-0000-0000-000010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Sheet Maintenance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91</xdr:row>
          <xdr:rowOff>142875</xdr:rowOff>
        </xdr:from>
        <xdr:to>
          <xdr:col>5</xdr:col>
          <xdr:colOff>1371600</xdr:colOff>
          <xdr:row>93</xdr:row>
          <xdr:rowOff>95250</xdr:rowOff>
        </xdr:to>
        <xdr:sp macro="" textlink="">
          <xdr:nvSpPr>
            <xdr:cNvPr id="2065" name="Button 17" hidden="1">
              <a:extLst>
                <a:ext uri="{63B3BB69-23CF-44E3-9099-C40C66FF867C}">
                  <a14:compatExt spid="_x0000_s2065"/>
                </a:ext>
                <a:ext uri="{FF2B5EF4-FFF2-40B4-BE49-F238E27FC236}">
                  <a16:creationId xmlns="" xmlns:a16="http://schemas.microsoft.com/office/drawing/2014/main" id="{00000000-0008-0000-0000-00001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Operation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42</xdr:row>
          <xdr:rowOff>133350</xdr:rowOff>
        </xdr:from>
        <xdr:to>
          <xdr:col>5</xdr:col>
          <xdr:colOff>2486025</xdr:colOff>
          <xdr:row>44</xdr:row>
          <xdr:rowOff>28575</xdr:rowOff>
        </xdr:to>
        <xdr:sp macro="" textlink="">
          <xdr:nvSpPr>
            <xdr:cNvPr id="2152" name="Check Box 104" hidden="1">
              <a:extLst>
                <a:ext uri="{63B3BB69-23CF-44E3-9099-C40C66FF867C}">
                  <a14:compatExt spid="_x0000_s2152"/>
                </a:ext>
                <a:ext uri="{FF2B5EF4-FFF2-40B4-BE49-F238E27FC236}">
                  <a16:creationId xmlns="" xmlns:a16="http://schemas.microsoft.com/office/drawing/2014/main" id="{00000000-0008-0000-0000-00006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Allow user IP 'target machine' entry*</a:t>
              </a:r>
            </a:p>
          </xdr:txBody>
        </xdr:sp>
        <xdr:clientData/>
      </xdr:twoCellAnchor>
    </mc:Choice>
    <mc:Fallback/>
  </mc:AlternateContent>
  <xdr:twoCellAnchor editAs="oneCell">
    <xdr:from>
      <xdr:col>5</xdr:col>
      <xdr:colOff>1266826</xdr:colOff>
      <xdr:row>0</xdr:row>
      <xdr:rowOff>590550</xdr:rowOff>
    </xdr:from>
    <xdr:to>
      <xdr:col>8</xdr:col>
      <xdr:colOff>419100</xdr:colOff>
      <xdr:row>1</xdr:row>
      <xdr:rowOff>476249</xdr:rowOff>
    </xdr:to>
    <xdr:sp macro="" textlink="">
      <xdr:nvSpPr>
        <xdr:cNvPr id="3" name="TextBox 2">
          <a:extLst>
            <a:ext uri="{FF2B5EF4-FFF2-40B4-BE49-F238E27FC236}">
              <a16:creationId xmlns="" xmlns:a16="http://schemas.microsoft.com/office/drawing/2014/main" id="{00000000-0008-0000-0000-000003000000}"/>
            </a:ext>
          </a:extLst>
        </xdr:cNvPr>
        <xdr:cNvSpPr txBox="1"/>
      </xdr:nvSpPr>
      <xdr:spPr>
        <a:xfrm>
          <a:off x="1857376" y="590550"/>
          <a:ext cx="7619999" cy="685799"/>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none" tIns="0" bIns="0" rtlCol="0" anchor="ctr" anchorCtr="0">
          <a:scene3d>
            <a:camera prst="orthographicFront"/>
            <a:lightRig rig="soft" dir="t">
              <a:rot lat="0" lon="0" rev="15600000"/>
            </a:lightRig>
          </a:scene3d>
          <a:sp3d extrusionH="57150" prstMaterial="softEdge">
            <a:bevelT w="25400" h="38100"/>
          </a:sp3d>
        </a:bodyPr>
        <a:lstStyle/>
        <a:p>
          <a:pPr algn="ctr" rtl="0">
            <a:defRPr sz="1000"/>
          </a:pPr>
          <a:r>
            <a:rPr lang="en-US" sz="3600" b="0" i="1" u="none" strike="noStrike" cap="none" spc="0" baseline="0">
              <a:ln w="0"/>
              <a:solidFill>
                <a:schemeClr val="tx1"/>
              </a:solidFill>
              <a:effectLst>
                <a:outerShdw blurRad="38100" dist="19050" dir="2700000" algn="tl" rotWithShape="0">
                  <a:schemeClr val="dk1">
                    <a:alpha val="40000"/>
                  </a:schemeClr>
                </a:outerShdw>
              </a:effectLst>
              <a:latin typeface="Calibri"/>
              <a:cs typeface="Calibri"/>
            </a:rPr>
            <a:t>MultiScope</a:t>
          </a:r>
          <a:r>
            <a:rPr lang="en-US" sz="3600" b="1" i="0" u="none" strike="noStrike" cap="none" spc="0" baseline="0">
              <a:ln>
                <a:solidFill>
                  <a:schemeClr val="tx1"/>
                </a:solidFill>
              </a:ln>
              <a:solidFill>
                <a:schemeClr val="tx1">
                  <a:lumMod val="50000"/>
                  <a:lumOff val="50000"/>
                </a:schemeClr>
              </a:solidFill>
              <a:effectLst/>
              <a:latin typeface="Calibri"/>
              <a:cs typeface="Calibri"/>
            </a:rPr>
            <a:t> </a:t>
          </a:r>
          <a:r>
            <a:rPr lang="en-US" sz="3600" b="0" i="1" u="none" strike="noStrike" cap="none" spc="0" baseline="0">
              <a:ln w="0"/>
              <a:solidFill>
                <a:schemeClr val="tx1"/>
              </a:solidFill>
              <a:effectLst>
                <a:outerShdw blurRad="38100" dist="19050" dir="2700000" algn="tl" rotWithShape="0">
                  <a:schemeClr val="dk1">
                    <a:alpha val="40000"/>
                  </a:schemeClr>
                </a:outerShdw>
              </a:effectLst>
              <a:latin typeface="Calibri"/>
              <a:cs typeface="Calibri"/>
            </a:rPr>
            <a:t>Server</a:t>
          </a:r>
          <a:r>
            <a:rPr lang="en-US" sz="3600" b="0" i="1" u="none" strike="noStrike" cap="none" spc="0" baseline="0">
              <a:ln w="0"/>
              <a:solidFill>
                <a:schemeClr val="tx1"/>
              </a:solidFill>
              <a:effectLst>
                <a:outerShdw blurRad="38100" dist="19050" dir="2700000" algn="tl" rotWithShape="0">
                  <a:schemeClr val="dk1">
                    <a:alpha val="40000"/>
                  </a:schemeClr>
                </a:outerShdw>
              </a:effectLst>
              <a:latin typeface="Calibri"/>
              <a:ea typeface="+mn-ea"/>
              <a:cs typeface="Calibri"/>
            </a:rPr>
            <a:t>  Provisioning Tool</a:t>
          </a:r>
          <a:endParaRPr lang="en-US" sz="3600" b="1" i="1" u="none" strike="noStrike" cap="none" spc="0" baseline="0">
            <a:ln>
              <a:solidFill>
                <a:schemeClr val="tx1"/>
              </a:solidFill>
            </a:ln>
            <a:solidFill>
              <a:schemeClr val="tx1">
                <a:lumMod val="50000"/>
                <a:lumOff val="50000"/>
              </a:schemeClr>
            </a:solidFill>
            <a:effectLst/>
            <a:latin typeface="Calibri"/>
            <a:ea typeface="+mn-ea"/>
            <a:cs typeface="Calibri"/>
          </a:endParaRPr>
        </a:p>
      </xdr:txBody>
    </xdr:sp>
    <xdr:clientData/>
  </xdr:twoCellAnchor>
  <xdr:twoCellAnchor>
    <xdr:from>
      <xdr:col>4</xdr:col>
      <xdr:colOff>593911</xdr:colOff>
      <xdr:row>38</xdr:row>
      <xdr:rowOff>141194</xdr:rowOff>
    </xdr:from>
    <xdr:to>
      <xdr:col>6</xdr:col>
      <xdr:colOff>9523</xdr:colOff>
      <xdr:row>40</xdr:row>
      <xdr:rowOff>155201</xdr:rowOff>
    </xdr:to>
    <xdr:grpSp>
      <xdr:nvGrpSpPr>
        <xdr:cNvPr id="6" name="Group 5">
          <a:extLst>
            <a:ext uri="{FF2B5EF4-FFF2-40B4-BE49-F238E27FC236}">
              <a16:creationId xmlns="" xmlns:a16="http://schemas.microsoft.com/office/drawing/2014/main" id="{00000000-0008-0000-0000-000006000000}"/>
            </a:ext>
          </a:extLst>
        </xdr:cNvPr>
        <xdr:cNvGrpSpPr/>
      </xdr:nvGrpSpPr>
      <xdr:grpSpPr>
        <a:xfrm>
          <a:off x="593911" y="8389844"/>
          <a:ext cx="2616012" cy="356907"/>
          <a:chOff x="590550" y="7658100"/>
          <a:chExt cx="3295649" cy="342900"/>
        </a:xfrm>
      </xdr:grpSpPr>
      <xdr:sp macro="" textlink="">
        <xdr:nvSpPr>
          <xdr:cNvPr id="2491" name="Rectangle 137">
            <a:extLst>
              <a:ext uri="{FF2B5EF4-FFF2-40B4-BE49-F238E27FC236}">
                <a16:creationId xmlns="" xmlns:a16="http://schemas.microsoft.com/office/drawing/2014/main" id="{00000000-0008-0000-0000-0000BB090000}"/>
              </a:ext>
            </a:extLst>
          </xdr:cNvPr>
          <xdr:cNvSpPr>
            <a:spLocks noChangeArrowheads="1"/>
          </xdr:cNvSpPr>
        </xdr:nvSpPr>
        <xdr:spPr bwMode="auto">
          <a:xfrm>
            <a:off x="590550" y="7658100"/>
            <a:ext cx="3295649" cy="3429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53640926-AAD7-44D8-BBD7-CCE9431645EC}">
              <a14:shadowObscured xmlns:a14="http://schemas.microsoft.com/office/drawing/2010/main" val="1"/>
            </a:ext>
          </a:extLst>
        </xdr:spPr>
      </xdr:sp>
      <mc:AlternateContent xmlns:mc="http://schemas.openxmlformats.org/markup-compatibility/2006">
        <mc:Choice xmlns:a14="http://schemas.microsoft.com/office/drawing/2010/main" Requires="a14">
          <xdr:sp macro="" textlink="">
            <xdr:nvSpPr>
              <xdr:cNvPr id="2141" name="Scroll Bar 93" descr="Use this control to change Multiscope Display color schemes." hidden="1">
                <a:extLst>
                  <a:ext uri="{63B3BB69-23CF-44E3-9099-C40C66FF867C}">
                    <a14:compatExt spid="_x0000_s2141"/>
                  </a:ext>
                  <a:ext uri="{FF2B5EF4-FFF2-40B4-BE49-F238E27FC236}">
                    <a16:creationId xmlns="" xmlns:a16="http://schemas.microsoft.com/office/drawing/2014/main" id="{00000000-0008-0000-0000-00005D080000}"/>
                  </a:ext>
                </a:extLst>
              </xdr:cNvPr>
              <xdr:cNvSpPr/>
            </xdr:nvSpPr>
            <xdr:spPr bwMode="auto">
              <a:xfrm>
                <a:off x="609599" y="7677150"/>
                <a:ext cx="1257299" cy="142875"/>
              </a:xfrm>
              <a:prstGeom prst="rect">
                <a:avLst/>
              </a:prstGeom>
              <a:noFill/>
              <a:ln w="9525">
                <a:miter lim="800000"/>
                <a:headEnd/>
                <a:tailEnd/>
              </a:ln>
            </xdr:spPr>
          </xdr:sp>
        </mc:Choice>
        <mc:Fallback/>
      </mc:AlternateContent>
    </xdr:grpSp>
    <xdr:clientData/>
  </xdr:twoCellAnchor>
  <mc:AlternateContent xmlns:mc="http://schemas.openxmlformats.org/markup-compatibility/2006">
    <mc:Choice xmlns:a14="http://schemas.microsoft.com/office/drawing/2010/main" Requires="a14">
      <xdr:twoCellAnchor>
        <xdr:from>
          <xdr:col>0</xdr:col>
          <xdr:colOff>314325</xdr:colOff>
          <xdr:row>58</xdr:row>
          <xdr:rowOff>114300</xdr:rowOff>
        </xdr:from>
        <xdr:to>
          <xdr:col>2</xdr:col>
          <xdr:colOff>247650</xdr:colOff>
          <xdr:row>60</xdr:row>
          <xdr:rowOff>9525</xdr:rowOff>
        </xdr:to>
        <xdr:sp macro="" textlink="">
          <xdr:nvSpPr>
            <xdr:cNvPr id="2227" name="Check Box 179" hidden="1">
              <a:extLst>
                <a:ext uri="{63B3BB69-23CF-44E3-9099-C40C66FF867C}">
                  <a14:compatExt spid="_x0000_s2227"/>
                </a:ext>
                <a:ext uri="{FF2B5EF4-FFF2-40B4-BE49-F238E27FC236}">
                  <a16:creationId xmlns="" xmlns:a16="http://schemas.microsoft.com/office/drawing/2014/main" id="{00000000-0008-0000-0000-0000B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 Scale X and Y</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314325</xdr:colOff>
          <xdr:row>60</xdr:row>
          <xdr:rowOff>47625</xdr:rowOff>
        </xdr:from>
        <xdr:to>
          <xdr:col>2</xdr:col>
          <xdr:colOff>247650</xdr:colOff>
          <xdr:row>61</xdr:row>
          <xdr:rowOff>104775</xdr:rowOff>
        </xdr:to>
        <xdr:sp macro="" textlink="">
          <xdr:nvSpPr>
            <xdr:cNvPr id="2228" name="Check Box 180" hidden="1">
              <a:extLst>
                <a:ext uri="{63B3BB69-23CF-44E3-9099-C40C66FF867C}">
                  <a14:compatExt spid="_x0000_s2228"/>
                </a:ext>
                <a:ext uri="{FF2B5EF4-FFF2-40B4-BE49-F238E27FC236}">
                  <a16:creationId xmlns="" xmlns:a16="http://schemas.microsoft.com/office/drawing/2014/main" id="{00000000-0008-0000-0000-0000B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Peak Statistic</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314325</xdr:colOff>
          <xdr:row>61</xdr:row>
          <xdr:rowOff>152400</xdr:rowOff>
        </xdr:from>
        <xdr:to>
          <xdr:col>2</xdr:col>
          <xdr:colOff>247650</xdr:colOff>
          <xdr:row>63</xdr:row>
          <xdr:rowOff>47625</xdr:rowOff>
        </xdr:to>
        <xdr:sp macro="" textlink="">
          <xdr:nvSpPr>
            <xdr:cNvPr id="2229" name="Check Box 181" hidden="1">
              <a:extLst>
                <a:ext uri="{63B3BB69-23CF-44E3-9099-C40C66FF867C}">
                  <a14:compatExt spid="_x0000_s2229"/>
                </a:ext>
                <a:ext uri="{FF2B5EF4-FFF2-40B4-BE49-F238E27FC236}">
                  <a16:creationId xmlns="" xmlns:a16="http://schemas.microsoft.com/office/drawing/2014/main" id="{00000000-0008-0000-0000-0000B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Campbell Lines Centered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314325</xdr:colOff>
          <xdr:row>71</xdr:row>
          <xdr:rowOff>104775</xdr:rowOff>
        </xdr:from>
        <xdr:to>
          <xdr:col>2</xdr:col>
          <xdr:colOff>695325</xdr:colOff>
          <xdr:row>73</xdr:row>
          <xdr:rowOff>0</xdr:rowOff>
        </xdr:to>
        <xdr:sp macro="" textlink="">
          <xdr:nvSpPr>
            <xdr:cNvPr id="2230" name="Check Box 182" hidden="1">
              <a:extLst>
                <a:ext uri="{63B3BB69-23CF-44E3-9099-C40C66FF867C}">
                  <a14:compatExt spid="_x0000_s2230"/>
                </a:ext>
                <a:ext uri="{FF2B5EF4-FFF2-40B4-BE49-F238E27FC236}">
                  <a16:creationId xmlns="" xmlns:a16="http://schemas.microsoft.com/office/drawing/2014/main" id="{00000000-0008-0000-0000-0000B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Update Order Track with Largest (vs Newest)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314325</xdr:colOff>
          <xdr:row>63</xdr:row>
          <xdr:rowOff>85725</xdr:rowOff>
        </xdr:from>
        <xdr:to>
          <xdr:col>2</xdr:col>
          <xdr:colOff>447675</xdr:colOff>
          <xdr:row>64</xdr:row>
          <xdr:rowOff>142875</xdr:rowOff>
        </xdr:to>
        <xdr:sp macro="" textlink="">
          <xdr:nvSpPr>
            <xdr:cNvPr id="2231" name="Check Box 183" hidden="1">
              <a:extLst>
                <a:ext uri="{63B3BB69-23CF-44E3-9099-C40C66FF867C}">
                  <a14:compatExt spid="_x0000_s2231"/>
                </a:ext>
                <a:ext uri="{FF2B5EF4-FFF2-40B4-BE49-F238E27FC236}">
                  <a16:creationId xmlns="" xmlns:a16="http://schemas.microsoft.com/office/drawing/2014/main" id="{00000000-0008-0000-0000-0000B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0V Line on Time Plots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314325</xdr:colOff>
          <xdr:row>65</xdr:row>
          <xdr:rowOff>28575</xdr:rowOff>
        </xdr:from>
        <xdr:to>
          <xdr:col>2</xdr:col>
          <xdr:colOff>247650</xdr:colOff>
          <xdr:row>66</xdr:row>
          <xdr:rowOff>85725</xdr:rowOff>
        </xdr:to>
        <xdr:sp macro="" textlink="">
          <xdr:nvSpPr>
            <xdr:cNvPr id="2232" name="Check Box 184" hidden="1">
              <a:extLst>
                <a:ext uri="{63B3BB69-23CF-44E3-9099-C40C66FF867C}">
                  <a14:compatExt spid="_x0000_s2232"/>
                </a:ext>
                <a:ext uri="{FF2B5EF4-FFF2-40B4-BE49-F238E27FC236}">
                  <a16:creationId xmlns="" xmlns:a16="http://schemas.microsoft.com/office/drawing/2014/main" id="{00000000-0008-0000-0000-0000B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Large Time Display</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314325</xdr:colOff>
          <xdr:row>66</xdr:row>
          <xdr:rowOff>123825</xdr:rowOff>
        </xdr:from>
        <xdr:to>
          <xdr:col>2</xdr:col>
          <xdr:colOff>247650</xdr:colOff>
          <xdr:row>68</xdr:row>
          <xdr:rowOff>19050</xdr:rowOff>
        </xdr:to>
        <xdr:sp macro="" textlink="">
          <xdr:nvSpPr>
            <xdr:cNvPr id="2233" name="Check Box 185" hidden="1">
              <a:extLst>
                <a:ext uri="{63B3BB69-23CF-44E3-9099-C40C66FF867C}">
                  <a14:compatExt spid="_x0000_s2233"/>
                </a:ext>
                <a:ext uri="{FF2B5EF4-FFF2-40B4-BE49-F238E27FC236}">
                  <a16:creationId xmlns="" xmlns:a16="http://schemas.microsoft.com/office/drawing/2014/main" id="{00000000-0008-0000-0000-0000B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Update all Plots on Exit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314325</xdr:colOff>
          <xdr:row>68</xdr:row>
          <xdr:rowOff>66675</xdr:rowOff>
        </xdr:from>
        <xdr:to>
          <xdr:col>2</xdr:col>
          <xdr:colOff>619125</xdr:colOff>
          <xdr:row>69</xdr:row>
          <xdr:rowOff>123825</xdr:rowOff>
        </xdr:to>
        <xdr:sp macro="" textlink="">
          <xdr:nvSpPr>
            <xdr:cNvPr id="2234" name="Check Box 186" hidden="1">
              <a:extLst>
                <a:ext uri="{63B3BB69-23CF-44E3-9099-C40C66FF867C}">
                  <a14:compatExt spid="_x0000_s2234"/>
                </a:ext>
                <a:ext uri="{FF2B5EF4-FFF2-40B4-BE49-F238E27FC236}">
                  <a16:creationId xmlns="" xmlns:a16="http://schemas.microsoft.com/office/drawing/2014/main" id="{00000000-0008-0000-0000-0000B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Update PlotSet on all Changes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314325</xdr:colOff>
          <xdr:row>70</xdr:row>
          <xdr:rowOff>0</xdr:rowOff>
        </xdr:from>
        <xdr:to>
          <xdr:col>2</xdr:col>
          <xdr:colOff>523875</xdr:colOff>
          <xdr:row>71</xdr:row>
          <xdr:rowOff>57150</xdr:rowOff>
        </xdr:to>
        <xdr:sp macro="" textlink="">
          <xdr:nvSpPr>
            <xdr:cNvPr id="2235" name="Check Box 187" hidden="1">
              <a:extLst>
                <a:ext uri="{63B3BB69-23CF-44E3-9099-C40C66FF867C}">
                  <a14:compatExt spid="_x0000_s2235"/>
                </a:ext>
                <a:ext uri="{FF2B5EF4-FFF2-40B4-BE49-F238E27FC236}">
                  <a16:creationId xmlns="" xmlns:a16="http://schemas.microsoft.com/office/drawing/2014/main" id="{00000000-0008-0000-0000-0000B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Update Campbel with Largest (vs Newest)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314325</xdr:colOff>
          <xdr:row>73</xdr:row>
          <xdr:rowOff>38100</xdr:rowOff>
        </xdr:from>
        <xdr:to>
          <xdr:col>2</xdr:col>
          <xdr:colOff>695325</xdr:colOff>
          <xdr:row>74</xdr:row>
          <xdr:rowOff>95250</xdr:rowOff>
        </xdr:to>
        <xdr:sp macro="" textlink="">
          <xdr:nvSpPr>
            <xdr:cNvPr id="2236" name="Check Box 188" hidden="1">
              <a:extLst>
                <a:ext uri="{63B3BB69-23CF-44E3-9099-C40C66FF867C}">
                  <a14:compatExt spid="_x0000_s2236"/>
                </a:ext>
                <a:ext uri="{FF2B5EF4-FFF2-40B4-BE49-F238E27FC236}">
                  <a16:creationId xmlns="" xmlns:a16="http://schemas.microsoft.com/office/drawing/2014/main" id="{00000000-0008-0000-0000-0000B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Allow Lo-res plots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209550</xdr:colOff>
      <xdr:row>8</xdr:row>
      <xdr:rowOff>57150</xdr:rowOff>
    </xdr:from>
    <xdr:to>
      <xdr:col>1</xdr:col>
      <xdr:colOff>295275</xdr:colOff>
      <xdr:row>8</xdr:row>
      <xdr:rowOff>142875</xdr:rowOff>
    </xdr:to>
    <xdr:sp macro="" textlink="">
      <xdr:nvSpPr>
        <xdr:cNvPr id="6145" name="AutoShape 1">
          <a:extLst>
            <a:ext uri="{FF2B5EF4-FFF2-40B4-BE49-F238E27FC236}">
              <a16:creationId xmlns="" xmlns:a16="http://schemas.microsoft.com/office/drawing/2014/main" id="{00000000-0008-0000-0100-000001180000}"/>
            </a:ext>
          </a:extLst>
        </xdr:cNvPr>
        <xdr:cNvSpPr>
          <a:spLocks noChangeArrowheads="1"/>
        </xdr:cNvSpPr>
      </xdr:nvSpPr>
      <xdr:spPr bwMode="auto">
        <a:xfrm>
          <a:off x="419100" y="1552575"/>
          <a:ext cx="85725" cy="85725"/>
        </a:xfrm>
        <a:prstGeom prst="star5">
          <a:avLst/>
        </a:prstGeom>
        <a:solidFill>
          <a:srgbClr val="7BC17E"/>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a:lstStyle/>
        <a:p>
          <a:endParaRPr lang="en-US"/>
        </a:p>
      </xdr:txBody>
    </xdr:sp>
    <xdr:clientData/>
  </xdr:twoCellAnchor>
  <xdr:twoCellAnchor>
    <xdr:from>
      <xdr:col>3</xdr:col>
      <xdr:colOff>209550</xdr:colOff>
      <xdr:row>8</xdr:row>
      <xdr:rowOff>57150</xdr:rowOff>
    </xdr:from>
    <xdr:to>
      <xdr:col>3</xdr:col>
      <xdr:colOff>295275</xdr:colOff>
      <xdr:row>8</xdr:row>
      <xdr:rowOff>142875</xdr:rowOff>
    </xdr:to>
    <xdr:sp macro="" textlink="">
      <xdr:nvSpPr>
        <xdr:cNvPr id="6146" name="AutoShape 2">
          <a:extLst>
            <a:ext uri="{FF2B5EF4-FFF2-40B4-BE49-F238E27FC236}">
              <a16:creationId xmlns="" xmlns:a16="http://schemas.microsoft.com/office/drawing/2014/main" id="{00000000-0008-0000-0100-000002180000}"/>
            </a:ext>
          </a:extLst>
        </xdr:cNvPr>
        <xdr:cNvSpPr>
          <a:spLocks noChangeArrowheads="1"/>
        </xdr:cNvSpPr>
      </xdr:nvSpPr>
      <xdr:spPr bwMode="auto">
        <a:xfrm>
          <a:off x="1000125" y="1552575"/>
          <a:ext cx="85725" cy="85725"/>
        </a:xfrm>
        <a:prstGeom prst="star5">
          <a:avLst/>
        </a:prstGeom>
        <a:solidFill>
          <a:srgbClr val="7BC17E"/>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a:lstStyle/>
        <a:p>
          <a:endParaRPr lang="en-US"/>
        </a:p>
      </xdr:txBody>
    </xdr:sp>
    <xdr:clientData/>
  </xdr:twoCellAnchor>
  <xdr:twoCellAnchor>
    <xdr:from>
      <xdr:col>5</xdr:col>
      <xdr:colOff>209550</xdr:colOff>
      <xdr:row>8</xdr:row>
      <xdr:rowOff>57150</xdr:rowOff>
    </xdr:from>
    <xdr:to>
      <xdr:col>5</xdr:col>
      <xdr:colOff>295275</xdr:colOff>
      <xdr:row>8</xdr:row>
      <xdr:rowOff>142875</xdr:rowOff>
    </xdr:to>
    <xdr:sp macro="" textlink="">
      <xdr:nvSpPr>
        <xdr:cNvPr id="6147" name="AutoShape 3">
          <a:extLst>
            <a:ext uri="{FF2B5EF4-FFF2-40B4-BE49-F238E27FC236}">
              <a16:creationId xmlns="" xmlns:a16="http://schemas.microsoft.com/office/drawing/2014/main" id="{00000000-0008-0000-0100-000003180000}"/>
            </a:ext>
          </a:extLst>
        </xdr:cNvPr>
        <xdr:cNvSpPr>
          <a:spLocks noChangeArrowheads="1"/>
        </xdr:cNvSpPr>
      </xdr:nvSpPr>
      <xdr:spPr bwMode="auto">
        <a:xfrm>
          <a:off x="1666875" y="1552575"/>
          <a:ext cx="85725" cy="85725"/>
        </a:xfrm>
        <a:prstGeom prst="star5">
          <a:avLst/>
        </a:prstGeom>
        <a:solidFill>
          <a:srgbClr val="7BC17E"/>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a:lstStyle/>
        <a:p>
          <a:endParaRPr lang="en-US"/>
        </a:p>
      </xdr:txBody>
    </xdr:sp>
    <xdr:clientData/>
  </xdr:twoCellAnchor>
  <xdr:twoCellAnchor>
    <xdr:from>
      <xdr:col>7</xdr:col>
      <xdr:colOff>209550</xdr:colOff>
      <xdr:row>8</xdr:row>
      <xdr:rowOff>57150</xdr:rowOff>
    </xdr:from>
    <xdr:to>
      <xdr:col>7</xdr:col>
      <xdr:colOff>295275</xdr:colOff>
      <xdr:row>8</xdr:row>
      <xdr:rowOff>142875</xdr:rowOff>
    </xdr:to>
    <xdr:sp macro="" textlink="">
      <xdr:nvSpPr>
        <xdr:cNvPr id="6148" name="AutoShape 4">
          <a:extLst>
            <a:ext uri="{FF2B5EF4-FFF2-40B4-BE49-F238E27FC236}">
              <a16:creationId xmlns="" xmlns:a16="http://schemas.microsoft.com/office/drawing/2014/main" id="{00000000-0008-0000-0100-000004180000}"/>
            </a:ext>
          </a:extLst>
        </xdr:cNvPr>
        <xdr:cNvSpPr>
          <a:spLocks noChangeArrowheads="1"/>
        </xdr:cNvSpPr>
      </xdr:nvSpPr>
      <xdr:spPr bwMode="auto">
        <a:xfrm>
          <a:off x="2295525" y="1552575"/>
          <a:ext cx="85725" cy="85725"/>
        </a:xfrm>
        <a:prstGeom prst="star5">
          <a:avLst/>
        </a:prstGeom>
        <a:solidFill>
          <a:srgbClr val="7BC17E"/>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a:lstStyle/>
        <a:p>
          <a:endParaRPr lang="en-US"/>
        </a:p>
      </xdr:txBody>
    </xdr:sp>
    <xdr:clientData/>
  </xdr:twoCellAnchor>
  <xdr:twoCellAnchor>
    <xdr:from>
      <xdr:col>9</xdr:col>
      <xdr:colOff>209550</xdr:colOff>
      <xdr:row>8</xdr:row>
      <xdr:rowOff>57150</xdr:rowOff>
    </xdr:from>
    <xdr:to>
      <xdr:col>9</xdr:col>
      <xdr:colOff>295275</xdr:colOff>
      <xdr:row>8</xdr:row>
      <xdr:rowOff>142875</xdr:rowOff>
    </xdr:to>
    <xdr:sp macro="" textlink="">
      <xdr:nvSpPr>
        <xdr:cNvPr id="6149" name="AutoShape 5">
          <a:extLst>
            <a:ext uri="{FF2B5EF4-FFF2-40B4-BE49-F238E27FC236}">
              <a16:creationId xmlns="" xmlns:a16="http://schemas.microsoft.com/office/drawing/2014/main" id="{00000000-0008-0000-0100-000005180000}"/>
            </a:ext>
          </a:extLst>
        </xdr:cNvPr>
        <xdr:cNvSpPr>
          <a:spLocks noChangeArrowheads="1"/>
        </xdr:cNvSpPr>
      </xdr:nvSpPr>
      <xdr:spPr bwMode="auto">
        <a:xfrm>
          <a:off x="3009900" y="1552575"/>
          <a:ext cx="85725" cy="85725"/>
        </a:xfrm>
        <a:prstGeom prst="star5">
          <a:avLst/>
        </a:prstGeom>
        <a:solidFill>
          <a:srgbClr val="7BC17E"/>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a:lstStyle/>
        <a:p>
          <a:endParaRPr lang="en-US"/>
        </a:p>
      </xdr:txBody>
    </xdr:sp>
    <xdr:clientData/>
  </xdr:twoCellAnchor>
  <xdr:twoCellAnchor>
    <xdr:from>
      <xdr:col>11</xdr:col>
      <xdr:colOff>209550</xdr:colOff>
      <xdr:row>8</xdr:row>
      <xdr:rowOff>57150</xdr:rowOff>
    </xdr:from>
    <xdr:to>
      <xdr:col>11</xdr:col>
      <xdr:colOff>295275</xdr:colOff>
      <xdr:row>8</xdr:row>
      <xdr:rowOff>142875</xdr:rowOff>
    </xdr:to>
    <xdr:sp macro="" textlink="">
      <xdr:nvSpPr>
        <xdr:cNvPr id="6150" name="AutoShape 6">
          <a:extLst>
            <a:ext uri="{FF2B5EF4-FFF2-40B4-BE49-F238E27FC236}">
              <a16:creationId xmlns="" xmlns:a16="http://schemas.microsoft.com/office/drawing/2014/main" id="{00000000-0008-0000-0100-000006180000}"/>
            </a:ext>
          </a:extLst>
        </xdr:cNvPr>
        <xdr:cNvSpPr>
          <a:spLocks noChangeArrowheads="1"/>
        </xdr:cNvSpPr>
      </xdr:nvSpPr>
      <xdr:spPr bwMode="auto">
        <a:xfrm>
          <a:off x="3590925" y="1552575"/>
          <a:ext cx="85725" cy="85725"/>
        </a:xfrm>
        <a:prstGeom prst="star5">
          <a:avLst/>
        </a:prstGeom>
        <a:solidFill>
          <a:srgbClr val="7BC17E"/>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a:lstStyle/>
        <a:p>
          <a:endParaRPr lang="en-US"/>
        </a:p>
      </xdr:txBody>
    </xdr:sp>
    <xdr:clientData/>
  </xdr:twoCellAnchor>
  <xdr:twoCellAnchor>
    <xdr:from>
      <xdr:col>13</xdr:col>
      <xdr:colOff>209550</xdr:colOff>
      <xdr:row>8</xdr:row>
      <xdr:rowOff>57150</xdr:rowOff>
    </xdr:from>
    <xdr:to>
      <xdr:col>13</xdr:col>
      <xdr:colOff>295275</xdr:colOff>
      <xdr:row>8</xdr:row>
      <xdr:rowOff>142875</xdr:rowOff>
    </xdr:to>
    <xdr:sp macro="" textlink="">
      <xdr:nvSpPr>
        <xdr:cNvPr id="6151" name="AutoShape 7">
          <a:extLst>
            <a:ext uri="{FF2B5EF4-FFF2-40B4-BE49-F238E27FC236}">
              <a16:creationId xmlns="" xmlns:a16="http://schemas.microsoft.com/office/drawing/2014/main" id="{00000000-0008-0000-0100-000007180000}"/>
            </a:ext>
          </a:extLst>
        </xdr:cNvPr>
        <xdr:cNvSpPr>
          <a:spLocks noChangeArrowheads="1"/>
        </xdr:cNvSpPr>
      </xdr:nvSpPr>
      <xdr:spPr bwMode="auto">
        <a:xfrm>
          <a:off x="4171950" y="1552575"/>
          <a:ext cx="85725" cy="85725"/>
        </a:xfrm>
        <a:prstGeom prst="star5">
          <a:avLst/>
        </a:prstGeom>
        <a:solidFill>
          <a:srgbClr val="7BC17E"/>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a:lstStyle/>
        <a:p>
          <a:endParaRPr lang="en-US"/>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142875</xdr:colOff>
          <xdr:row>7</xdr:row>
          <xdr:rowOff>47625</xdr:rowOff>
        </xdr:from>
        <xdr:to>
          <xdr:col>5</xdr:col>
          <xdr:colOff>581025</xdr:colOff>
          <xdr:row>21</xdr:row>
          <xdr:rowOff>95250</xdr:rowOff>
        </xdr:to>
        <xdr:grpSp>
          <xdr:nvGrpSpPr>
            <xdr:cNvPr id="2" name="Group 1">
              <a:extLst>
                <a:ext uri="{FF2B5EF4-FFF2-40B4-BE49-F238E27FC236}">
                  <a16:creationId xmlns="" xmlns:a16="http://schemas.microsoft.com/office/drawing/2014/main" id="{00000000-0008-0000-0400-000002000000}"/>
                </a:ext>
              </a:extLst>
            </xdr:cNvPr>
            <xdr:cNvGrpSpPr/>
          </xdr:nvGrpSpPr>
          <xdr:grpSpPr>
            <a:xfrm>
              <a:off x="1362075" y="1285875"/>
              <a:ext cx="2266950" cy="2314575"/>
              <a:chOff x="923925" y="1876425"/>
              <a:chExt cx="2266950" cy="2314575"/>
            </a:xfrm>
          </xdr:grpSpPr>
          <xdr:sp macro="" textlink="">
            <xdr:nvSpPr>
              <xdr:cNvPr id="19457" name="Check Box 1" hidden="1">
                <a:extLst>
                  <a:ext uri="{63B3BB69-23CF-44E3-9099-C40C66FF867C}">
                    <a14:compatExt spid="_x0000_s19457"/>
                  </a:ext>
                  <a:ext uri="{FF2B5EF4-FFF2-40B4-BE49-F238E27FC236}">
                    <a16:creationId xmlns="" xmlns:a16="http://schemas.microsoft.com/office/drawing/2014/main" id="{00000000-0008-0000-0400-0000014C0000}"/>
                  </a:ext>
                </a:extLst>
              </xdr:cNvPr>
              <xdr:cNvSpPr/>
            </xdr:nvSpPr>
            <xdr:spPr bwMode="auto">
              <a:xfrm>
                <a:off x="923925" y="1876425"/>
                <a:ext cx="1819275"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 Scale X and Y</a:t>
                </a:r>
              </a:p>
            </xdr:txBody>
          </xdr:sp>
          <xdr:sp macro="" textlink="">
            <xdr:nvSpPr>
              <xdr:cNvPr id="19458" name="Check Box 2" hidden="1">
                <a:extLst>
                  <a:ext uri="{63B3BB69-23CF-44E3-9099-C40C66FF867C}">
                    <a14:compatExt spid="_x0000_s19458"/>
                  </a:ext>
                  <a:ext uri="{FF2B5EF4-FFF2-40B4-BE49-F238E27FC236}">
                    <a16:creationId xmlns="" xmlns:a16="http://schemas.microsoft.com/office/drawing/2014/main" id="{00000000-0008-0000-0400-0000024C0000}"/>
                  </a:ext>
                </a:extLst>
              </xdr:cNvPr>
              <xdr:cNvSpPr/>
            </xdr:nvSpPr>
            <xdr:spPr bwMode="auto">
              <a:xfrm>
                <a:off x="923925" y="2133600"/>
                <a:ext cx="1819275"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Peak Statistic</a:t>
                </a:r>
              </a:p>
            </xdr:txBody>
          </xdr:sp>
          <xdr:sp macro="" textlink="">
            <xdr:nvSpPr>
              <xdr:cNvPr id="19459" name="Check Box 3" hidden="1">
                <a:extLst>
                  <a:ext uri="{63B3BB69-23CF-44E3-9099-C40C66FF867C}">
                    <a14:compatExt spid="_x0000_s19459"/>
                  </a:ext>
                  <a:ext uri="{FF2B5EF4-FFF2-40B4-BE49-F238E27FC236}">
                    <a16:creationId xmlns="" xmlns:a16="http://schemas.microsoft.com/office/drawing/2014/main" id="{00000000-0008-0000-0400-0000034C0000}"/>
                  </a:ext>
                </a:extLst>
              </xdr:cNvPr>
              <xdr:cNvSpPr/>
            </xdr:nvSpPr>
            <xdr:spPr bwMode="auto">
              <a:xfrm>
                <a:off x="923925" y="2400300"/>
                <a:ext cx="1819275"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Campbell Lines Centered</a:t>
                </a:r>
              </a:p>
            </xdr:txBody>
          </xdr:sp>
          <xdr:sp macro="" textlink="">
            <xdr:nvSpPr>
              <xdr:cNvPr id="19460" name="Check Box 4" hidden="1">
                <a:extLst>
                  <a:ext uri="{63B3BB69-23CF-44E3-9099-C40C66FF867C}">
                    <a14:compatExt spid="_x0000_s19460"/>
                  </a:ext>
                  <a:ext uri="{FF2B5EF4-FFF2-40B4-BE49-F238E27FC236}">
                    <a16:creationId xmlns="" xmlns:a16="http://schemas.microsoft.com/office/drawing/2014/main" id="{00000000-0008-0000-0400-0000044C0000}"/>
                  </a:ext>
                </a:extLst>
              </xdr:cNvPr>
              <xdr:cNvSpPr/>
            </xdr:nvSpPr>
            <xdr:spPr bwMode="auto">
              <a:xfrm>
                <a:off x="923925" y="3971925"/>
                <a:ext cx="22669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Update Order Track with Largest (vs Newest)</a:t>
                </a:r>
              </a:p>
            </xdr:txBody>
          </xdr:sp>
          <xdr:sp macro="" textlink="">
            <xdr:nvSpPr>
              <xdr:cNvPr id="19461" name="Check Box 5" hidden="1">
                <a:extLst>
                  <a:ext uri="{63B3BB69-23CF-44E3-9099-C40C66FF867C}">
                    <a14:compatExt spid="_x0000_s19461"/>
                  </a:ext>
                  <a:ext uri="{FF2B5EF4-FFF2-40B4-BE49-F238E27FC236}">
                    <a16:creationId xmlns="" xmlns:a16="http://schemas.microsoft.com/office/drawing/2014/main" id="{00000000-0008-0000-0400-0000054C0000}"/>
                  </a:ext>
                </a:extLst>
              </xdr:cNvPr>
              <xdr:cNvSpPr/>
            </xdr:nvSpPr>
            <xdr:spPr bwMode="auto">
              <a:xfrm>
                <a:off x="923925" y="2657475"/>
                <a:ext cx="20193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0V Line on Time Plots</a:t>
                </a:r>
              </a:p>
            </xdr:txBody>
          </xdr:sp>
          <xdr:sp macro="" textlink="">
            <xdr:nvSpPr>
              <xdr:cNvPr id="19463" name="Check Box 7" hidden="1">
                <a:extLst>
                  <a:ext uri="{63B3BB69-23CF-44E3-9099-C40C66FF867C}">
                    <a14:compatExt spid="_x0000_s19463"/>
                  </a:ext>
                  <a:ext uri="{FF2B5EF4-FFF2-40B4-BE49-F238E27FC236}">
                    <a16:creationId xmlns="" xmlns:a16="http://schemas.microsoft.com/office/drawing/2014/main" id="{00000000-0008-0000-0400-0000074C0000}"/>
                  </a:ext>
                </a:extLst>
              </xdr:cNvPr>
              <xdr:cNvSpPr/>
            </xdr:nvSpPr>
            <xdr:spPr bwMode="auto">
              <a:xfrm>
                <a:off x="923925" y="3181350"/>
                <a:ext cx="1819275"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Update all Plots on Exit</a:t>
                </a:r>
              </a:p>
            </xdr:txBody>
          </xdr:sp>
          <xdr:sp macro="" textlink="">
            <xdr:nvSpPr>
              <xdr:cNvPr id="19464" name="Check Box 8" hidden="1">
                <a:extLst>
                  <a:ext uri="{63B3BB69-23CF-44E3-9099-C40C66FF867C}">
                    <a14:compatExt spid="_x0000_s19464"/>
                  </a:ext>
                  <a:ext uri="{FF2B5EF4-FFF2-40B4-BE49-F238E27FC236}">
                    <a16:creationId xmlns="" xmlns:a16="http://schemas.microsoft.com/office/drawing/2014/main" id="{00000000-0008-0000-0400-0000084C0000}"/>
                  </a:ext>
                </a:extLst>
              </xdr:cNvPr>
              <xdr:cNvSpPr/>
            </xdr:nvSpPr>
            <xdr:spPr bwMode="auto">
              <a:xfrm>
                <a:off x="923925" y="3448050"/>
                <a:ext cx="21907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Update PlotSet on all Changes</a:t>
                </a:r>
              </a:p>
            </xdr:txBody>
          </xdr:sp>
          <xdr:sp macro="" textlink="">
            <xdr:nvSpPr>
              <xdr:cNvPr id="19465" name="Check Box 9" hidden="1">
                <a:extLst>
                  <a:ext uri="{63B3BB69-23CF-44E3-9099-C40C66FF867C}">
                    <a14:compatExt spid="_x0000_s19465"/>
                  </a:ext>
                  <a:ext uri="{FF2B5EF4-FFF2-40B4-BE49-F238E27FC236}">
                    <a16:creationId xmlns="" xmlns:a16="http://schemas.microsoft.com/office/drawing/2014/main" id="{00000000-0008-0000-0400-0000094C0000}"/>
                  </a:ext>
                </a:extLst>
              </xdr:cNvPr>
              <xdr:cNvSpPr/>
            </xdr:nvSpPr>
            <xdr:spPr bwMode="auto">
              <a:xfrm>
                <a:off x="923925" y="3705225"/>
                <a:ext cx="20955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Update Campbel with Largest (vs Newest)</a:t>
                </a:r>
              </a:p>
            </xdr:txBody>
          </xdr:sp>
          <xdr:sp macro="" textlink="">
            <xdr:nvSpPr>
              <xdr:cNvPr id="19466" name="Check Box 10" hidden="1">
                <a:extLst>
                  <a:ext uri="{63B3BB69-23CF-44E3-9099-C40C66FF867C}">
                    <a14:compatExt spid="_x0000_s19466"/>
                  </a:ext>
                  <a:ext uri="{FF2B5EF4-FFF2-40B4-BE49-F238E27FC236}">
                    <a16:creationId xmlns="" xmlns:a16="http://schemas.microsoft.com/office/drawing/2014/main" id="{00000000-0008-0000-0400-00000A4C0000}"/>
                  </a:ext>
                </a:extLst>
              </xdr:cNvPr>
              <xdr:cNvSpPr/>
            </xdr:nvSpPr>
            <xdr:spPr bwMode="auto">
              <a:xfrm>
                <a:off x="923925" y="2943225"/>
                <a:ext cx="22669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Allow Lo-res plots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197</xdr:row>
          <xdr:rowOff>123825</xdr:rowOff>
        </xdr:from>
        <xdr:to>
          <xdr:col>6</xdr:col>
          <xdr:colOff>142875</xdr:colOff>
          <xdr:row>199</xdr:row>
          <xdr:rowOff>19050</xdr:rowOff>
        </xdr:to>
        <xdr:sp macro="" textlink="">
          <xdr:nvSpPr>
            <xdr:cNvPr id="19468" name="Check Box 12" descr="Large Time Display (Should be off)" hidden="1">
              <a:extLst>
                <a:ext uri="{63B3BB69-23CF-44E3-9099-C40C66FF867C}">
                  <a14:compatExt spid="_x0000_s19468"/>
                </a:ext>
                <a:ext uri="{FF2B5EF4-FFF2-40B4-BE49-F238E27FC236}">
                  <a16:creationId xmlns="" xmlns:a16="http://schemas.microsoft.com/office/drawing/2014/main" id="{00000000-0008-0000-0400-00000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Large Time Display (Should be off)</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28575</xdr:colOff>
          <xdr:row>661</xdr:row>
          <xdr:rowOff>142875</xdr:rowOff>
        </xdr:from>
        <xdr:to>
          <xdr:col>9</xdr:col>
          <xdr:colOff>419100</xdr:colOff>
          <xdr:row>663</xdr:row>
          <xdr:rowOff>9525</xdr:rowOff>
        </xdr:to>
        <xdr:sp macro="" textlink="">
          <xdr:nvSpPr>
            <xdr:cNvPr id="5126" name="Button 6" hidden="1">
              <a:extLst>
                <a:ext uri="{63B3BB69-23CF-44E3-9099-C40C66FF867C}">
                  <a14:compatExt spid="_x0000_s5126"/>
                </a:ext>
                <a:ext uri="{FF2B5EF4-FFF2-40B4-BE49-F238E27FC236}">
                  <a16:creationId xmlns="" xmlns:a16="http://schemas.microsoft.com/office/drawing/2014/main" id="{00000000-0008-0000-0900-000006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above to Default Tach Colors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39</xdr:row>
          <xdr:rowOff>114300</xdr:rowOff>
        </xdr:from>
        <xdr:to>
          <xdr:col>4</xdr:col>
          <xdr:colOff>2114550</xdr:colOff>
          <xdr:row>41</xdr:row>
          <xdr:rowOff>66675</xdr:rowOff>
        </xdr:to>
        <xdr:sp macro="" textlink="">
          <xdr:nvSpPr>
            <xdr:cNvPr id="5128" name="Check Box 8" descr="  Manually enter Multiscope target address&#10;" hidden="1">
              <a:extLst>
                <a:ext uri="{63B3BB69-23CF-44E3-9099-C40C66FF867C}">
                  <a14:compatExt spid="_x0000_s5128"/>
                </a:ext>
                <a:ext uri="{FF2B5EF4-FFF2-40B4-BE49-F238E27FC236}">
                  <a16:creationId xmlns="" xmlns:a16="http://schemas.microsoft.com/office/drawing/2014/main" id="{00000000-0008-0000-0900-000008140000}"/>
                </a:ext>
              </a:extLst>
            </xdr:cNvPr>
            <xdr:cNvSpPr/>
          </xdr:nvSpPr>
          <xdr:spPr bwMode="auto">
            <a:xfrm>
              <a:off x="0" y="0"/>
              <a:ext cx="0" cy="0"/>
            </a:xfrm>
            <a:prstGeom prst="rect">
              <a:avLst/>
            </a:prstGeom>
            <a:solidFill>
              <a:srgbClr val="CCFFCC" mc:Ignorable="a14" a14:legacySpreadsheetColorIndex="42"/>
            </a:solidFill>
            <a:ln w="3175">
              <a:solidFill>
                <a:srgbClr val="000000" mc:Ignorable="a14" a14:legacySpreadsheetColorIndex="64"/>
              </a:solidFill>
              <a:miter lim="800000"/>
              <a:headEnd/>
              <a:tailEnd/>
            </a:ln>
            <a:effec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Manually enter Multiscope target IP</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638175</xdr:colOff>
          <xdr:row>73</xdr:row>
          <xdr:rowOff>104775</xdr:rowOff>
        </xdr:from>
        <xdr:to>
          <xdr:col>3</xdr:col>
          <xdr:colOff>114300</xdr:colOff>
          <xdr:row>76</xdr:row>
          <xdr:rowOff>47625</xdr:rowOff>
        </xdr:to>
        <xdr:sp macro="" textlink="">
          <xdr:nvSpPr>
            <xdr:cNvPr id="12290" name="Button 2" hidden="1">
              <a:extLst>
                <a:ext uri="{63B3BB69-23CF-44E3-9099-C40C66FF867C}">
                  <a14:compatExt spid="_x0000_s12290"/>
                </a:ext>
                <a:ext uri="{FF2B5EF4-FFF2-40B4-BE49-F238E27FC236}">
                  <a16:creationId xmlns="" xmlns:a16="http://schemas.microsoft.com/office/drawing/2014/main" id="{00000000-0008-0000-0A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Units Conversion</a:t>
              </a:r>
            </a:p>
            <a:p>
              <a:pPr algn="ctr" rtl="0">
                <a:defRPr sz="1000"/>
              </a:pPr>
              <a:r>
                <a:rPr lang="en-US" sz="1000" b="0" i="0" u="none" strike="noStrike" baseline="0">
                  <a:solidFill>
                    <a:srgbClr val="000000"/>
                  </a:solidFill>
                  <a:latin typeface="Arial"/>
                  <a:cs typeface="Arial"/>
                </a:rPr>
                <a:t>Tool</a:t>
              </a:r>
            </a:p>
          </xdr:txBody>
        </xdr:sp>
        <xdr:clientData fPrintsWithSheet="0"/>
      </xdr:twoCellAnchor>
    </mc:Choice>
    <mc:Fallback/>
  </mc:AlternateContent>
</xdr:wsDr>
</file>

<file path=xl/queryTables/queryTable1.xml><?xml version="1.0" encoding="utf-8"?>
<queryTable xmlns="http://schemas.openxmlformats.org/spreadsheetml/2006/main" name="SYSEXEC" connectionId="3"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DSPCTRL" connectionId="1"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MultiScope Display" connectionId="2"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65"/>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7" dist="17961" dir="2700000">
            <a:srgbClr xmlns:mc="http://schemas.openxmlformats.org/markup-compatibility/2006" xmlns:a14="http://schemas.microsoft.com/office/drawing/2010/main" val="000000" mc:Ignorable="a14" a14:legacySpreadsheetColorIndex="64">
              <a:gamma/>
              <a:shade val="60000"/>
              <a:invGamma/>
            </a:srgbClr>
          </a:prstShdw>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prstShdw prst="shdw17" dist="17961" dir="2700000">
            <a:srgbClr xmlns:mc="http://schemas.openxmlformats.org/markup-compatibility/2006" xmlns:a14="http://schemas.microsoft.com/office/drawing/2010/main" val="400000" mc:Ignorable="a14" a14:legacySpreadsheetColorIndex="64">
              <a:gamma/>
              <a:shade val="60000"/>
              <a:invGamma/>
            </a:srgbClr>
          </a:prst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ctrlProp" Target="../ctrlProps/ctrlProp16.xml"/><Relationship Id="rId7" Type="http://schemas.openxmlformats.org/officeDocument/2006/relationships/ctrlProp" Target="../ctrlProps/ctrlProp20.xml"/><Relationship Id="rId12" Type="http://schemas.openxmlformats.org/officeDocument/2006/relationships/ctrlProp" Target="../ctrlProps/ctrlProp25.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19.xml"/><Relationship Id="rId11" Type="http://schemas.openxmlformats.org/officeDocument/2006/relationships/ctrlProp" Target="../ctrlProps/ctrlProp24.xml"/><Relationship Id="rId5" Type="http://schemas.openxmlformats.org/officeDocument/2006/relationships/ctrlProp" Target="../ctrlProps/ctrlProp18.xml"/><Relationship Id="rId10" Type="http://schemas.openxmlformats.org/officeDocument/2006/relationships/ctrlProp" Target="../ctrlProps/ctrlProp23.xml"/><Relationship Id="rId4" Type="http://schemas.openxmlformats.org/officeDocument/2006/relationships/ctrlProp" Target="../ctrlProps/ctrlProp17.xml"/><Relationship Id="rId9" Type="http://schemas.openxmlformats.org/officeDocument/2006/relationships/ctrlProp" Target="../ctrlProps/ctrlProp2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queryTable" Target="../queryTables/queryTable3.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autoPageBreaks="0" fitToPage="1"/>
  </sheetPr>
  <dimension ref="A1:O96"/>
  <sheetViews>
    <sheetView showGridLines="0" showRowColHeaders="0" tabSelected="1" topLeftCell="E1" zoomScaleNormal="100" workbookViewId="0">
      <selection activeCell="H4" sqref="H4"/>
    </sheetView>
  </sheetViews>
  <sheetFormatPr defaultRowHeight="12.75" x14ac:dyDescent="0.2"/>
  <cols>
    <col min="1" max="1" width="9.5703125" hidden="1" customWidth="1"/>
    <col min="2" max="2" width="18.140625" hidden="1" customWidth="1"/>
    <col min="3" max="3" width="16.42578125" hidden="1" customWidth="1"/>
    <col min="4" max="4" width="14.140625" hidden="1" customWidth="1"/>
    <col min="5" max="5" width="8.85546875" customWidth="1"/>
    <col min="6" max="6" width="39.140625" customWidth="1"/>
    <col min="7" max="7" width="29.28515625" customWidth="1"/>
    <col min="8" max="8" width="58.5703125" style="21" customWidth="1"/>
    <col min="9" max="9" width="18.42578125" bestFit="1" customWidth="1"/>
    <col min="10" max="10" width="17" bestFit="1" customWidth="1"/>
  </cols>
  <sheetData>
    <row r="1" spans="1:15" ht="63" customHeight="1" x14ac:dyDescent="0.2">
      <c r="A1" s="187" t="s">
        <v>834</v>
      </c>
    </row>
    <row r="2" spans="1:15" s="4" customFormat="1" ht="67.5" customHeight="1" thickBot="1" x14ac:dyDescent="0.25">
      <c r="A2" s="5" t="s">
        <v>12</v>
      </c>
      <c r="B2" s="5" t="s">
        <v>13</v>
      </c>
      <c r="C2" s="5" t="s">
        <v>14</v>
      </c>
      <c r="D2" s="5" t="s">
        <v>15</v>
      </c>
      <c r="E2"/>
      <c r="F2" s="8"/>
      <c r="G2" s="148"/>
      <c r="H2" s="19"/>
      <c r="I2" s="8"/>
      <c r="J2" s="8"/>
      <c r="K2" s="8"/>
      <c r="L2" s="8"/>
      <c r="M2" s="8"/>
      <c r="N2" s="8"/>
      <c r="O2" s="8"/>
    </row>
    <row r="3" spans="1:15" ht="18" customHeight="1" thickBot="1" x14ac:dyDescent="0.25">
      <c r="A3" s="150" t="s">
        <v>751</v>
      </c>
      <c r="B3" s="150" t="s">
        <v>293</v>
      </c>
      <c r="C3" s="150" t="s">
        <v>293</v>
      </c>
      <c r="D3" s="150" t="s">
        <v>805</v>
      </c>
      <c r="F3" s="149"/>
      <c r="G3" s="208" t="s">
        <v>18</v>
      </c>
      <c r="H3" s="209" t="str">
        <f>VLOOKUP(pod,pod_table,4,FALSE)</f>
        <v>GE Aviation</v>
      </c>
      <c r="I3" s="129"/>
    </row>
    <row r="4" spans="1:15" ht="18.75" customHeight="1" thickBot="1" x14ac:dyDescent="0.25">
      <c r="A4" s="6">
        <v>300</v>
      </c>
      <c r="B4" s="7" t="s">
        <v>732</v>
      </c>
      <c r="C4" s="7" t="s">
        <v>732</v>
      </c>
      <c r="D4" s="7" t="s">
        <v>16</v>
      </c>
      <c r="F4" s="9"/>
      <c r="G4" s="210" t="s">
        <v>841</v>
      </c>
      <c r="H4" s="211" t="s">
        <v>751</v>
      </c>
      <c r="I4" s="173" t="str">
        <f>IF(NOT(A23), "&lt;-- Select target POD Here", "")</f>
        <v>&lt;-- Select target POD Here</v>
      </c>
    </row>
    <row r="5" spans="1:15" s="4" customFormat="1" ht="18" customHeight="1" thickBot="1" x14ac:dyDescent="0.25">
      <c r="A5" s="170">
        <v>301</v>
      </c>
      <c r="B5" s="171" t="s">
        <v>19</v>
      </c>
      <c r="C5" s="171" t="s">
        <v>19</v>
      </c>
      <c r="D5" s="171" t="s">
        <v>16</v>
      </c>
      <c r="G5" s="212" t="s">
        <v>800</v>
      </c>
      <c r="H5" s="213" t="s">
        <v>835</v>
      </c>
      <c r="I5" s="172" t="b">
        <f>OR(H6 = UserName, LOWER(H6)=UserName, UPPER(H6)=UserName)</f>
        <v>1</v>
      </c>
      <c r="J5" s="8"/>
      <c r="K5" s="8"/>
      <c r="L5" s="8"/>
      <c r="M5" s="8"/>
      <c r="N5" s="8"/>
      <c r="O5" s="8"/>
    </row>
    <row r="6" spans="1:15" s="4" customFormat="1" ht="18.75" customHeight="1" thickBot="1" x14ac:dyDescent="0.25">
      <c r="A6" s="170">
        <v>309</v>
      </c>
      <c r="B6" s="171" t="s">
        <v>738</v>
      </c>
      <c r="C6" s="171" t="s">
        <v>738</v>
      </c>
      <c r="D6" s="171" t="s">
        <v>16</v>
      </c>
      <c r="F6" s="8"/>
      <c r="G6" s="215" t="s">
        <v>802</v>
      </c>
      <c r="H6" s="216" t="s">
        <v>778</v>
      </c>
      <c r="I6" s="172"/>
      <c r="J6" s="8"/>
      <c r="K6" s="8"/>
      <c r="L6" s="8"/>
      <c r="M6" s="8"/>
      <c r="N6" s="8"/>
      <c r="O6" s="8"/>
    </row>
    <row r="7" spans="1:15" ht="12.75" customHeight="1" x14ac:dyDescent="0.2">
      <c r="A7" s="6">
        <v>311</v>
      </c>
      <c r="B7" s="7" t="s">
        <v>739</v>
      </c>
      <c r="C7" s="7" t="s">
        <v>739</v>
      </c>
      <c r="D7" s="7" t="s">
        <v>16</v>
      </c>
      <c r="F7" s="9"/>
      <c r="G7" s="214" t="s">
        <v>17</v>
      </c>
      <c r="H7" s="176" t="str">
        <f>IF(H6=user, "Log-on matches user name.",  "You are logged into this machine as " &amp; user)</f>
        <v>Log-on matches user name.</v>
      </c>
      <c r="I7" s="69"/>
      <c r="J7" s="9"/>
      <c r="K7" s="9"/>
      <c r="L7" s="9"/>
      <c r="M7" s="9"/>
      <c r="N7" s="9"/>
      <c r="O7" s="9"/>
    </row>
    <row r="8" spans="1:15" ht="12.75" customHeight="1" x14ac:dyDescent="0.2">
      <c r="A8" s="6">
        <v>312</v>
      </c>
      <c r="B8" s="7" t="s">
        <v>740</v>
      </c>
      <c r="C8" s="7" t="s">
        <v>740</v>
      </c>
      <c r="D8" s="7" t="s">
        <v>16</v>
      </c>
      <c r="F8" s="9"/>
      <c r="G8" s="161" t="str">
        <f>VLOOKUP(pod,pod_table,2,FALSE)&amp;" +"&amp;RIGHT(VLOOKUP(pod,pod_table,3,FALSE),4)</f>
        <v>127.0.0.1 +.0.1</v>
      </c>
      <c r="H8" s="175"/>
      <c r="I8" s="69"/>
      <c r="J8" s="9"/>
      <c r="K8" s="9"/>
      <c r="L8" s="9"/>
      <c r="M8" s="9"/>
      <c r="N8" s="9"/>
      <c r="O8" s="9"/>
    </row>
    <row r="9" spans="1:15" ht="12.75" customHeight="1" x14ac:dyDescent="0.2">
      <c r="A9" s="6">
        <v>313</v>
      </c>
      <c r="B9" s="7" t="s">
        <v>741</v>
      </c>
      <c r="C9" s="7" t="s">
        <v>741</v>
      </c>
      <c r="D9" s="7" t="s">
        <v>16</v>
      </c>
      <c r="F9" s="9"/>
      <c r="G9" s="49"/>
      <c r="H9" s="190"/>
      <c r="J9" s="9"/>
      <c r="K9" s="9"/>
      <c r="L9" s="9"/>
      <c r="M9" s="9"/>
      <c r="N9" s="9"/>
      <c r="O9" s="9"/>
    </row>
    <row r="10" spans="1:15" ht="15.75" customHeight="1" x14ac:dyDescent="0.2">
      <c r="A10" s="6">
        <v>314</v>
      </c>
      <c r="B10" s="7" t="s">
        <v>742</v>
      </c>
      <c r="C10" s="7" t="s">
        <v>742</v>
      </c>
      <c r="D10" s="7" t="s">
        <v>16</v>
      </c>
      <c r="F10" s="9"/>
      <c r="J10" s="9"/>
      <c r="K10" s="9"/>
      <c r="L10" s="9"/>
      <c r="M10" s="9"/>
      <c r="N10" s="9"/>
      <c r="O10" s="9"/>
    </row>
    <row r="11" spans="1:15" x14ac:dyDescent="0.2">
      <c r="A11" s="6">
        <v>329</v>
      </c>
      <c r="B11" s="7" t="s">
        <v>20</v>
      </c>
      <c r="C11" s="7" t="s">
        <v>21</v>
      </c>
      <c r="D11" s="7" t="s">
        <v>16</v>
      </c>
      <c r="G11" s="217"/>
      <c r="H11" s="20"/>
      <c r="I11" s="9"/>
      <c r="J11" s="9"/>
      <c r="K11" s="9"/>
      <c r="L11" s="9"/>
      <c r="M11" s="9"/>
      <c r="N11" s="9"/>
      <c r="O11" s="9"/>
    </row>
    <row r="12" spans="1:15" x14ac:dyDescent="0.2">
      <c r="A12" s="6">
        <v>332</v>
      </c>
      <c r="B12" s="7" t="s">
        <v>733</v>
      </c>
      <c r="C12" s="7" t="s">
        <v>733</v>
      </c>
      <c r="D12" s="7" t="s">
        <v>16</v>
      </c>
      <c r="F12" s="49"/>
    </row>
    <row r="13" spans="1:15" x14ac:dyDescent="0.2">
      <c r="A13" s="6">
        <v>333</v>
      </c>
      <c r="B13" s="7" t="s">
        <v>737</v>
      </c>
      <c r="C13" s="7" t="s">
        <v>737</v>
      </c>
      <c r="D13" s="7" t="s">
        <v>16</v>
      </c>
      <c r="F13" s="49"/>
      <c r="G13" s="69"/>
      <c r="H13" s="188"/>
      <c r="I13" s="69"/>
    </row>
    <row r="14" spans="1:15" ht="15" x14ac:dyDescent="0.2">
      <c r="A14" s="6">
        <v>339</v>
      </c>
      <c r="B14" s="7" t="s">
        <v>734</v>
      </c>
      <c r="C14" s="7" t="s">
        <v>734</v>
      </c>
      <c r="D14" s="7" t="s">
        <v>16</v>
      </c>
      <c r="F14" s="218" t="str">
        <f>IF(H6&lt;&gt;user, "You are logged on as "&amp; user  &amp;". " &amp; IF(user="dspcon","  This tool is configured to modify "&amp; H6 &amp;"'s profile.","You may not continue."),"  ")</f>
        <v xml:space="preserve">  </v>
      </c>
      <c r="G14" s="218"/>
      <c r="H14" s="218"/>
      <c r="I14" s="218"/>
    </row>
    <row r="15" spans="1:15" ht="15" customHeight="1" x14ac:dyDescent="0.2">
      <c r="A15" s="6">
        <v>340</v>
      </c>
      <c r="B15" s="7" t="s">
        <v>735</v>
      </c>
      <c r="C15" s="7" t="s">
        <v>735</v>
      </c>
      <c r="D15" s="7" t="s">
        <v>16</v>
      </c>
      <c r="F15" s="49"/>
      <c r="G15" s="69"/>
      <c r="H15" s="188"/>
      <c r="I15" s="189"/>
    </row>
    <row r="16" spans="1:15" ht="12.75" customHeight="1" x14ac:dyDescent="0.2">
      <c r="A16" s="6">
        <v>341</v>
      </c>
      <c r="B16" s="7" t="s">
        <v>736</v>
      </c>
      <c r="C16" s="7" t="s">
        <v>736</v>
      </c>
      <c r="D16" s="7" t="s">
        <v>16</v>
      </c>
      <c r="F16" s="49"/>
      <c r="G16" s="219" t="s">
        <v>803</v>
      </c>
      <c r="H16" s="219"/>
      <c r="I16" s="20"/>
    </row>
    <row r="17" spans="1:14" ht="12.75" customHeight="1" x14ac:dyDescent="0.2">
      <c r="A17" s="180" t="s">
        <v>752</v>
      </c>
      <c r="B17" s="181"/>
      <c r="C17" s="181"/>
      <c r="D17" s="181"/>
      <c r="F17" s="49"/>
      <c r="G17" s="219"/>
      <c r="H17" s="219"/>
      <c r="I17" s="20"/>
    </row>
    <row r="18" spans="1:14" ht="15" x14ac:dyDescent="0.2">
      <c r="A18" s="180" t="s">
        <v>752</v>
      </c>
      <c r="B18" s="181"/>
      <c r="C18" s="181"/>
      <c r="D18" s="181"/>
      <c r="G18" s="224"/>
      <c r="H18" s="224"/>
      <c r="I18" s="224"/>
    </row>
    <row r="19" spans="1:14" x14ac:dyDescent="0.2">
      <c r="A19" s="180" t="s">
        <v>752</v>
      </c>
      <c r="B19" s="181"/>
      <c r="C19" s="181"/>
      <c r="D19" s="181"/>
      <c r="G19" s="3"/>
      <c r="H19" s="22"/>
    </row>
    <row r="20" spans="1:14" x14ac:dyDescent="0.2">
      <c r="A20" s="180" t="s">
        <v>752</v>
      </c>
      <c r="B20" s="181"/>
      <c r="C20" s="181"/>
      <c r="D20" s="181"/>
    </row>
    <row r="21" spans="1:14" ht="13.5" thickBot="1" x14ac:dyDescent="0.25">
      <c r="A21" s="192" t="s">
        <v>752</v>
      </c>
      <c r="B21" s="193"/>
      <c r="C21" s="193"/>
      <c r="D21" s="193"/>
    </row>
    <row r="22" spans="1:14" ht="15.75" thickBot="1" x14ac:dyDescent="0.25">
      <c r="A22" s="194" t="b">
        <f>AND(A24, A23)</f>
        <v>0</v>
      </c>
      <c r="B22" s="195" t="s">
        <v>830</v>
      </c>
      <c r="C22" s="227" t="s">
        <v>807</v>
      </c>
      <c r="D22" s="228"/>
      <c r="G22" s="225"/>
      <c r="H22" s="225"/>
      <c r="I22" s="225"/>
    </row>
    <row r="23" spans="1:14" ht="25.5" customHeight="1" thickBot="1" x14ac:dyDescent="0.25">
      <c r="A23" s="196" t="b">
        <v>0</v>
      </c>
      <c r="B23" s="191" t="s">
        <v>829</v>
      </c>
      <c r="C23" s="229"/>
      <c r="D23" s="230"/>
      <c r="G23" s="222" t="s">
        <v>789</v>
      </c>
      <c r="H23" s="223"/>
    </row>
    <row r="24" spans="1:14" ht="23.25" thickBot="1" x14ac:dyDescent="0.25">
      <c r="A24" s="197" t="b">
        <v>0</v>
      </c>
      <c r="B24" s="200" t="s">
        <v>836</v>
      </c>
      <c r="C24" s="231"/>
      <c r="D24" s="232"/>
      <c r="G24" s="119" t="s">
        <v>246</v>
      </c>
      <c r="H24" s="120">
        <v>0</v>
      </c>
    </row>
    <row r="25" spans="1:14" x14ac:dyDescent="0.2">
      <c r="G25" s="121" t="s">
        <v>812</v>
      </c>
      <c r="H25" s="122" t="s">
        <v>280</v>
      </c>
      <c r="J25" s="49"/>
      <c r="K25" s="49"/>
      <c r="L25" s="49"/>
      <c r="M25" s="49"/>
      <c r="N25" s="49"/>
    </row>
    <row r="26" spans="1:14" ht="12.75" customHeight="1" x14ac:dyDescent="0.2">
      <c r="A26" s="226" t="s">
        <v>840</v>
      </c>
      <c r="B26" s="226"/>
      <c r="C26" s="226"/>
      <c r="D26" s="226"/>
      <c r="G26" s="121" t="s">
        <v>799</v>
      </c>
      <c r="H26" s="184" t="str">
        <f>H6</f>
        <v>DSPCon</v>
      </c>
      <c r="J26" s="49"/>
      <c r="K26" s="49"/>
      <c r="L26" s="49"/>
      <c r="M26" s="49"/>
      <c r="N26" s="49"/>
    </row>
    <row r="27" spans="1:14" ht="12.75" customHeight="1" x14ac:dyDescent="0.2">
      <c r="A27" s="226"/>
      <c r="B27" s="226"/>
      <c r="C27" s="226"/>
      <c r="D27" s="226"/>
      <c r="G27" s="121" t="s">
        <v>281</v>
      </c>
      <c r="H27" s="123" t="s">
        <v>672</v>
      </c>
      <c r="J27" s="49"/>
      <c r="K27" s="48"/>
      <c r="L27" s="48"/>
      <c r="M27" s="48"/>
      <c r="N27" s="49"/>
    </row>
    <row r="28" spans="1:14" x14ac:dyDescent="0.2">
      <c r="A28" s="226"/>
      <c r="B28" s="226"/>
      <c r="C28" s="226"/>
      <c r="D28" s="226"/>
      <c r="G28" s="121" t="s">
        <v>278</v>
      </c>
      <c r="H28" s="124" t="str">
        <f>H27&amp;"\"&amp;H26&amp;"\Images\"</f>
        <v>C:\Data\DSPCon\Images\</v>
      </c>
    </row>
    <row r="29" spans="1:14" x14ac:dyDescent="0.2">
      <c r="A29" s="226"/>
      <c r="B29" s="226"/>
      <c r="C29" s="226"/>
      <c r="D29" s="226"/>
      <c r="G29" s="121" t="s">
        <v>279</v>
      </c>
      <c r="H29" s="124" t="str">
        <f>H27&amp;"\" &amp; H26 &amp; "\Data\"</f>
        <v>C:\Data\DSPCon\Data\</v>
      </c>
    </row>
    <row r="30" spans="1:14" x14ac:dyDescent="0.2">
      <c r="A30" s="226"/>
      <c r="B30" s="226"/>
      <c r="C30" s="226"/>
      <c r="D30" s="226"/>
      <c r="G30" s="121" t="s">
        <v>795</v>
      </c>
      <c r="H30" s="159" t="str">
        <f>INDEX($B$44:$B$50, MATCH($H$26,$A$44:$A$50,0))</f>
        <v>C:\Program Files (x86)\DSPCon Piranha-III DAW</v>
      </c>
      <c r="J30" s="49"/>
      <c r="K30" s="48"/>
      <c r="L30" s="48"/>
      <c r="M30" s="48"/>
      <c r="N30" s="49"/>
    </row>
    <row r="31" spans="1:14" x14ac:dyDescent="0.2">
      <c r="A31" s="226"/>
      <c r="B31" s="226"/>
      <c r="C31" s="226"/>
      <c r="D31" s="226"/>
      <c r="G31" s="183" t="s">
        <v>839</v>
      </c>
      <c r="H31" s="204" t="str">
        <f>WorkingDir&amp;"\"&amp;"PlotWorkspace"</f>
        <v>C:\Program Files (x86)\DSPCon Piranha-III DAW\PlotWorkspace</v>
      </c>
      <c r="J31" s="49"/>
      <c r="K31" s="48"/>
      <c r="L31" s="48"/>
      <c r="M31" s="48"/>
      <c r="N31" s="49"/>
    </row>
    <row r="32" spans="1:14" ht="13.5" thickBot="1" x14ac:dyDescent="0.25">
      <c r="A32" s="226"/>
      <c r="B32" s="226"/>
      <c r="C32" s="226"/>
      <c r="D32" s="226"/>
      <c r="F32" s="118"/>
      <c r="G32" s="125" t="s">
        <v>700</v>
      </c>
      <c r="H32" s="126">
        <v>4</v>
      </c>
      <c r="J32" s="49"/>
      <c r="K32" s="48"/>
      <c r="L32" s="48"/>
      <c r="M32" s="48"/>
      <c r="N32" s="49"/>
    </row>
    <row r="33" spans="1:14" x14ac:dyDescent="0.2">
      <c r="A33" s="226"/>
      <c r="B33" s="226"/>
      <c r="C33" s="226"/>
      <c r="D33" s="226"/>
      <c r="J33" s="49"/>
      <c r="K33" s="48"/>
      <c r="L33" s="48"/>
      <c r="M33" s="48"/>
      <c r="N33" s="49"/>
    </row>
    <row r="34" spans="1:14" x14ac:dyDescent="0.2">
      <c r="A34" s="226"/>
      <c r="B34" s="226"/>
      <c r="C34" s="226"/>
      <c r="D34" s="226"/>
      <c r="J34" s="49"/>
      <c r="K34" s="48"/>
      <c r="L34" s="48"/>
      <c r="M34" s="48"/>
      <c r="N34" s="49"/>
    </row>
    <row r="35" spans="1:14" x14ac:dyDescent="0.2">
      <c r="A35" s="226"/>
      <c r="B35" s="226"/>
      <c r="C35" s="226"/>
      <c r="D35" s="226"/>
      <c r="J35" s="49"/>
      <c r="K35" s="48"/>
      <c r="L35" s="48"/>
      <c r="M35" s="48"/>
      <c r="N35" s="49"/>
    </row>
    <row r="36" spans="1:14" x14ac:dyDescent="0.2">
      <c r="A36" s="226"/>
      <c r="B36" s="226"/>
      <c r="C36" s="226"/>
      <c r="D36" s="226"/>
      <c r="J36" s="49"/>
      <c r="K36" s="48"/>
      <c r="L36" s="48"/>
      <c r="M36" s="48"/>
      <c r="N36" s="49"/>
    </row>
    <row r="37" spans="1:14" x14ac:dyDescent="0.2">
      <c r="A37" s="226"/>
      <c r="B37" s="226"/>
      <c r="C37" s="226"/>
      <c r="D37" s="226"/>
      <c r="J37" s="49"/>
      <c r="K37" s="49"/>
      <c r="L37" s="49"/>
      <c r="M37" s="49"/>
      <c r="N37" s="49"/>
    </row>
    <row r="38" spans="1:14" x14ac:dyDescent="0.2">
      <c r="J38" s="49"/>
      <c r="K38" s="49"/>
      <c r="L38" s="49"/>
      <c r="M38" s="49"/>
      <c r="N38" s="49"/>
    </row>
    <row r="39" spans="1:14" ht="13.5" thickBot="1" x14ac:dyDescent="0.25">
      <c r="J39" s="49"/>
      <c r="K39" s="49"/>
      <c r="L39" s="49"/>
      <c r="M39" s="49"/>
      <c r="N39" s="49"/>
    </row>
    <row r="40" spans="1:14" ht="13.5" thickBot="1" x14ac:dyDescent="0.25">
      <c r="F40" s="158" t="s">
        <v>748</v>
      </c>
      <c r="J40" s="49"/>
      <c r="K40" s="49"/>
      <c r="L40" s="49"/>
      <c r="M40" s="49"/>
      <c r="N40" s="49"/>
    </row>
    <row r="41" spans="1:14" x14ac:dyDescent="0.2">
      <c r="F41" s="157" t="str">
        <f>'Multiscope Display'!H54</f>
        <v>Basic Black</v>
      </c>
    </row>
    <row r="43" spans="1:14" x14ac:dyDescent="0.2">
      <c r="H43" s="113"/>
      <c r="I43" s="114"/>
    </row>
    <row r="44" spans="1:14" x14ac:dyDescent="0.2">
      <c r="A44" s="114" t="s">
        <v>778</v>
      </c>
      <c r="B44" t="s">
        <v>781</v>
      </c>
      <c r="F44" s="207"/>
    </row>
    <row r="45" spans="1:14" x14ac:dyDescent="0.2">
      <c r="A45" s="114" t="s">
        <v>764</v>
      </c>
      <c r="B45" t="s">
        <v>756</v>
      </c>
      <c r="F45" s="108"/>
      <c r="H45" s="113"/>
    </row>
    <row r="46" spans="1:14" x14ac:dyDescent="0.2">
      <c r="A46" s="114" t="s">
        <v>765</v>
      </c>
      <c r="B46" t="s">
        <v>757</v>
      </c>
      <c r="F46" s="110"/>
      <c r="G46" s="108"/>
      <c r="H46" s="108"/>
      <c r="I46" s="108"/>
      <c r="J46" s="109"/>
      <c r="K46" s="108"/>
      <c r="L46" s="108"/>
    </row>
    <row r="47" spans="1:14" x14ac:dyDescent="0.2">
      <c r="A47" s="114" t="s">
        <v>766</v>
      </c>
      <c r="B47" t="s">
        <v>758</v>
      </c>
      <c r="G47" s="111"/>
      <c r="H47" s="107"/>
      <c r="I47" s="107"/>
      <c r="J47" s="112"/>
      <c r="K47" s="107"/>
      <c r="L47" s="107"/>
    </row>
    <row r="48" spans="1:14" x14ac:dyDescent="0.2">
      <c r="A48" s="114" t="s">
        <v>767</v>
      </c>
      <c r="B48" t="s">
        <v>759</v>
      </c>
      <c r="D48" s="49"/>
      <c r="E48" s="49"/>
      <c r="F48" s="49"/>
    </row>
    <row r="49" spans="1:6" s="49" customFormat="1" x14ac:dyDescent="0.2">
      <c r="A49" s="114" t="s">
        <v>768</v>
      </c>
      <c r="B49" t="s">
        <v>760</v>
      </c>
      <c r="C49"/>
      <c r="D49"/>
      <c r="E49"/>
      <c r="F49"/>
    </row>
    <row r="50" spans="1:6" x14ac:dyDescent="0.2">
      <c r="A50" s="114" t="s">
        <v>769</v>
      </c>
      <c r="B50" t="s">
        <v>761</v>
      </c>
    </row>
    <row r="53" spans="1:6" x14ac:dyDescent="0.2">
      <c r="A53" s="114" t="s">
        <v>796</v>
      </c>
      <c r="B53" s="156" t="str">
        <f>INDEX($B$44:$B$50, MATCH($H$26,$A$44:$A$50,0))</f>
        <v>C:\Program Files (x86)\DSPCon Piranha-III DAW</v>
      </c>
      <c r="F53" s="205"/>
    </row>
    <row r="54" spans="1:6" x14ac:dyDescent="0.2">
      <c r="F54" s="205"/>
    </row>
    <row r="58" spans="1:6" x14ac:dyDescent="0.2">
      <c r="A58" s="220" t="s">
        <v>798</v>
      </c>
      <c r="B58" s="221"/>
      <c r="C58" s="221"/>
    </row>
    <row r="77" spans="1:2" x14ac:dyDescent="0.2">
      <c r="A77" s="177" t="s">
        <v>811</v>
      </c>
      <c r="B77" s="206"/>
    </row>
    <row r="78" spans="1:2" x14ac:dyDescent="0.2">
      <c r="A78" s="182" t="s">
        <v>672</v>
      </c>
      <c r="B78" s="182"/>
    </row>
    <row r="79" spans="1:2" x14ac:dyDescent="0.2">
      <c r="A79" s="182" t="str">
        <f>"C:\Data\"&amp;$H$26</f>
        <v>C:\Data\DSPCon</v>
      </c>
      <c r="B79" s="182"/>
    </row>
    <row r="80" spans="1:2" x14ac:dyDescent="0.2">
      <c r="A80" s="182" t="str">
        <f>"C:\Data\"&amp;$H$26&amp;"\Misc"</f>
        <v>C:\Data\DSPCon\Misc</v>
      </c>
      <c r="B80" s="182"/>
    </row>
    <row r="81" spans="1:6" x14ac:dyDescent="0.2">
      <c r="A81" s="182" t="str">
        <f>"C:\Data\"&amp;$H$26&amp;"\Snips"</f>
        <v>C:\Data\DSPCon\Snips</v>
      </c>
      <c r="B81" s="182"/>
    </row>
    <row r="95" spans="1:6" x14ac:dyDescent="0.2">
      <c r="F95" s="155" t="str">
        <f>"Selected User Name: " &amp; H6</f>
        <v>Selected User Name: DSPCon</v>
      </c>
    </row>
    <row r="96" spans="1:6" x14ac:dyDescent="0.2">
      <c r="F96" s="116" t="str">
        <f>"Selected User Path: " &amp; WorkingDir</f>
        <v>Selected User Path: C:\Program Files (x86)\DSPCon Piranha-III DAW</v>
      </c>
    </row>
  </sheetData>
  <mergeCells count="8">
    <mergeCell ref="F14:I14"/>
    <mergeCell ref="G16:H17"/>
    <mergeCell ref="A58:C58"/>
    <mergeCell ref="G23:H23"/>
    <mergeCell ref="G18:I18"/>
    <mergeCell ref="G22:I22"/>
    <mergeCell ref="A26:D37"/>
    <mergeCell ref="C22:D24"/>
  </mergeCells>
  <phoneticPr fontId="0" type="noConversion"/>
  <conditionalFormatting sqref="A3:A21">
    <cfRule type="expression" dxfId="15" priority="19" stopIfTrue="1">
      <formula>D3&lt;&gt;"192.168.0.4"</formula>
    </cfRule>
  </conditionalFormatting>
  <conditionalFormatting sqref="F41">
    <cfRule type="cellIs" dxfId="14" priority="21" stopIfTrue="1" operator="equal">
      <formula>"CRT"</formula>
    </cfRule>
    <cfRule type="cellIs" dxfId="13" priority="22" stopIfTrue="1" operator="equal">
      <formula>"Coal Mine"</formula>
    </cfRule>
    <cfRule type="cellIs" dxfId="12" priority="23" stopIfTrue="1" operator="equal">
      <formula>"Arctic"</formula>
    </cfRule>
  </conditionalFormatting>
  <conditionalFormatting sqref="G8">
    <cfRule type="expression" dxfId="11" priority="17" stopIfTrue="1">
      <formula>$A$23</formula>
    </cfRule>
  </conditionalFormatting>
  <conditionalFormatting sqref="H3:H4">
    <cfRule type="expression" dxfId="10" priority="15" stopIfTrue="1">
      <formula>$A$23</formula>
    </cfRule>
  </conditionalFormatting>
  <conditionalFormatting sqref="G16">
    <cfRule type="expression" dxfId="9" priority="6">
      <formula>$A$23 = TRUE</formula>
    </cfRule>
  </conditionalFormatting>
  <conditionalFormatting sqref="H7">
    <cfRule type="expression" dxfId="8" priority="5">
      <formula>H6=user</formula>
    </cfRule>
  </conditionalFormatting>
  <conditionalFormatting sqref="G11">
    <cfRule type="expression" dxfId="7" priority="1">
      <formula>AND(A24, NOT(A23))</formula>
    </cfRule>
  </conditionalFormatting>
  <dataValidations xWindow="998" yWindow="369" count="9">
    <dataValidation type="decimal" allowBlank="1" showInputMessage="1" showErrorMessage="1" sqref="G47">
      <formula1>0.000000001</formula1>
      <formula2>100000000</formula2>
    </dataValidation>
    <dataValidation type="decimal" allowBlank="1" showInputMessage="1" showErrorMessage="1" sqref="F46">
      <formula1>0.01</formula1>
      <formula2>100000</formula2>
    </dataValidation>
    <dataValidation type="list" showInputMessage="1" showErrorMessage="1" promptTitle="Zero Spectral Bins" prompt="Selecting '0' disables DC blocking for HighRes FFT's.  _x000a__x000a_Use this to 'zero-out' the DC artifacts that are_x000a_often seen in spectrum plots.  Each bin is equal (in Hz)  _x000a_to the sample rate divided by the FFT block size._x000a__x000a_It does not affect recorded data." sqref="H24">
      <formula1>"0,1,2,3,4,5,6,7,8,9,10"</formula1>
    </dataValidation>
    <dataValidation type="list" showInputMessage="1" showErrorMessage="1" promptTitle="BMP vs JPG" prompt="BMP files are larger, but have higher quality than JPG screen images." sqref="H25">
      <formula1>"BMP, JPG"</formula1>
    </dataValidation>
    <dataValidation type="whole" allowBlank="1" showInputMessage="1" showErrorMessage="1" promptTitle="Default is 2" prompt="Enter 0 - 8" sqref="H32">
      <formula1>0</formula1>
      <formula2>8</formula2>
    </dataValidation>
    <dataValidation type="list" allowBlank="1" showInputMessage="1" showErrorMessage="1" sqref="L47 I47">
      <formula1>$A$19:$A$20</formula1>
    </dataValidation>
    <dataValidation type="list" allowBlank="1" showInputMessage="1" showErrorMessage="1" sqref="K47 H47">
      <formula1>$B$4:$H$4</formula1>
    </dataValidation>
    <dataValidation type="list" allowBlank="1" showErrorMessage="1" promptTitle="Select POD" sqref="H4">
      <formula1>$A$3:$A$21</formula1>
    </dataValidation>
    <dataValidation type="list" allowBlank="1" showInputMessage="1" showErrorMessage="1" sqref="H27">
      <formula1>$A$78:$A$81</formula1>
    </dataValidation>
  </dataValidations>
  <hyperlinks>
    <hyperlink ref="H26" location="'Display Config'!H6" tooltip="Click to change user" display="'Display Config'!H6"/>
  </hyperlink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Save_Config">
                <anchor moveWithCells="1">
                  <from>
                    <xdr:col>6</xdr:col>
                    <xdr:colOff>1466850</xdr:colOff>
                    <xdr:row>18</xdr:row>
                    <xdr:rowOff>38100</xdr:rowOff>
                  </from>
                  <to>
                    <xdr:col>7</xdr:col>
                    <xdr:colOff>1533525</xdr:colOff>
                    <xdr:row>20</xdr:row>
                    <xdr:rowOff>133350</xdr:rowOff>
                  </to>
                </anchor>
              </controlPr>
            </control>
          </mc:Choice>
        </mc:AlternateContent>
        <mc:AlternateContent xmlns:mc="http://schemas.openxmlformats.org/markup-compatibility/2006">
          <mc:Choice Requires="x14">
            <control shapeId="2064" r:id="rId5" name="Button 16">
              <controlPr defaultSize="0" print="0" autoFill="0" autoPict="0" macro="[0]!Unbutton_Sheet">
                <anchor moveWithCells="1" sizeWithCells="1">
                  <from>
                    <xdr:col>5</xdr:col>
                    <xdr:colOff>66675</xdr:colOff>
                    <xdr:row>89</xdr:row>
                    <xdr:rowOff>9525</xdr:rowOff>
                  </from>
                  <to>
                    <xdr:col>5</xdr:col>
                    <xdr:colOff>1371600</xdr:colOff>
                    <xdr:row>90</xdr:row>
                    <xdr:rowOff>123825</xdr:rowOff>
                  </to>
                </anchor>
              </controlPr>
            </control>
          </mc:Choice>
        </mc:AlternateContent>
        <mc:AlternateContent xmlns:mc="http://schemas.openxmlformats.org/markup-compatibility/2006">
          <mc:Choice Requires="x14">
            <control shapeId="2065" r:id="rId6" name="Button 17">
              <controlPr defaultSize="0" print="0" autoFill="0" autoPict="0" macro="[0]!getPretty">
                <anchor moveWithCells="1" sizeWithCells="1">
                  <from>
                    <xdr:col>5</xdr:col>
                    <xdr:colOff>66675</xdr:colOff>
                    <xdr:row>91</xdr:row>
                    <xdr:rowOff>142875</xdr:rowOff>
                  </from>
                  <to>
                    <xdr:col>5</xdr:col>
                    <xdr:colOff>1371600</xdr:colOff>
                    <xdr:row>93</xdr:row>
                    <xdr:rowOff>95250</xdr:rowOff>
                  </to>
                </anchor>
              </controlPr>
            </control>
          </mc:Choice>
        </mc:AlternateContent>
        <mc:AlternateContent xmlns:mc="http://schemas.openxmlformats.org/markup-compatibility/2006">
          <mc:Choice Requires="x14">
            <control shapeId="2141" r:id="rId7" name="Scroll Bar 93">
              <controlPr defaultSize="0" autoPict="0" altText="Use this control to change Multiscope Display color schemes.">
                <anchor moveWithCells="1">
                  <from>
                    <xdr:col>5</xdr:col>
                    <xdr:colOff>19050</xdr:colOff>
                    <xdr:row>38</xdr:row>
                    <xdr:rowOff>161925</xdr:rowOff>
                  </from>
                  <to>
                    <xdr:col>5</xdr:col>
                    <xdr:colOff>1019175</xdr:colOff>
                    <xdr:row>39</xdr:row>
                    <xdr:rowOff>142875</xdr:rowOff>
                  </to>
                </anchor>
              </controlPr>
            </control>
          </mc:Choice>
        </mc:AlternateContent>
        <mc:AlternateContent xmlns:mc="http://schemas.openxmlformats.org/markup-compatibility/2006">
          <mc:Choice Requires="x14">
            <control shapeId="2152" r:id="rId8" name="Check Box 104">
              <controlPr defaultSize="0" autoFill="0" autoLine="0" autoPict="0">
                <anchor moveWithCells="1" sizeWithCells="1">
                  <from>
                    <xdr:col>5</xdr:col>
                    <xdr:colOff>219075</xdr:colOff>
                    <xdr:row>42</xdr:row>
                    <xdr:rowOff>133350</xdr:rowOff>
                  </from>
                  <to>
                    <xdr:col>5</xdr:col>
                    <xdr:colOff>2486025</xdr:colOff>
                    <xdr:row>44</xdr:row>
                    <xdr:rowOff>28575</xdr:rowOff>
                  </to>
                </anchor>
              </controlPr>
            </control>
          </mc:Choice>
        </mc:AlternateContent>
        <mc:AlternateContent xmlns:mc="http://schemas.openxmlformats.org/markup-compatibility/2006">
          <mc:Choice Requires="x14">
            <control shapeId="2227" r:id="rId9" name="Check Box 179">
              <controlPr defaultSize="0" autoFill="0" autoLine="0" autoPict="0">
                <anchor moveWithCells="1" sizeWithCells="1">
                  <from>
                    <xdr:col>0</xdr:col>
                    <xdr:colOff>314325</xdr:colOff>
                    <xdr:row>58</xdr:row>
                    <xdr:rowOff>114300</xdr:rowOff>
                  </from>
                  <to>
                    <xdr:col>2</xdr:col>
                    <xdr:colOff>247650</xdr:colOff>
                    <xdr:row>60</xdr:row>
                    <xdr:rowOff>9525</xdr:rowOff>
                  </to>
                </anchor>
              </controlPr>
            </control>
          </mc:Choice>
        </mc:AlternateContent>
        <mc:AlternateContent xmlns:mc="http://schemas.openxmlformats.org/markup-compatibility/2006">
          <mc:Choice Requires="x14">
            <control shapeId="2228" r:id="rId10" name="Check Box 180">
              <controlPr defaultSize="0" autoFill="0" autoLine="0" autoPict="0">
                <anchor moveWithCells="1" sizeWithCells="1">
                  <from>
                    <xdr:col>0</xdr:col>
                    <xdr:colOff>314325</xdr:colOff>
                    <xdr:row>60</xdr:row>
                    <xdr:rowOff>47625</xdr:rowOff>
                  </from>
                  <to>
                    <xdr:col>2</xdr:col>
                    <xdr:colOff>247650</xdr:colOff>
                    <xdr:row>61</xdr:row>
                    <xdr:rowOff>104775</xdr:rowOff>
                  </to>
                </anchor>
              </controlPr>
            </control>
          </mc:Choice>
        </mc:AlternateContent>
        <mc:AlternateContent xmlns:mc="http://schemas.openxmlformats.org/markup-compatibility/2006">
          <mc:Choice Requires="x14">
            <control shapeId="2229" r:id="rId11" name="Check Box 181">
              <controlPr defaultSize="0" autoFill="0" autoLine="0" autoPict="0">
                <anchor moveWithCells="1" sizeWithCells="1">
                  <from>
                    <xdr:col>0</xdr:col>
                    <xdr:colOff>314325</xdr:colOff>
                    <xdr:row>61</xdr:row>
                    <xdr:rowOff>152400</xdr:rowOff>
                  </from>
                  <to>
                    <xdr:col>2</xdr:col>
                    <xdr:colOff>247650</xdr:colOff>
                    <xdr:row>63</xdr:row>
                    <xdr:rowOff>47625</xdr:rowOff>
                  </to>
                </anchor>
              </controlPr>
            </control>
          </mc:Choice>
        </mc:AlternateContent>
        <mc:AlternateContent xmlns:mc="http://schemas.openxmlformats.org/markup-compatibility/2006">
          <mc:Choice Requires="x14">
            <control shapeId="2230" r:id="rId12" name="Check Box 182">
              <controlPr defaultSize="0" autoFill="0" autoLine="0" autoPict="0">
                <anchor moveWithCells="1" sizeWithCells="1">
                  <from>
                    <xdr:col>0</xdr:col>
                    <xdr:colOff>314325</xdr:colOff>
                    <xdr:row>71</xdr:row>
                    <xdr:rowOff>104775</xdr:rowOff>
                  </from>
                  <to>
                    <xdr:col>2</xdr:col>
                    <xdr:colOff>695325</xdr:colOff>
                    <xdr:row>73</xdr:row>
                    <xdr:rowOff>0</xdr:rowOff>
                  </to>
                </anchor>
              </controlPr>
            </control>
          </mc:Choice>
        </mc:AlternateContent>
        <mc:AlternateContent xmlns:mc="http://schemas.openxmlformats.org/markup-compatibility/2006">
          <mc:Choice Requires="x14">
            <control shapeId="2231" r:id="rId13" name="Check Box 183">
              <controlPr defaultSize="0" autoFill="0" autoLine="0" autoPict="0">
                <anchor moveWithCells="1" sizeWithCells="1">
                  <from>
                    <xdr:col>0</xdr:col>
                    <xdr:colOff>314325</xdr:colOff>
                    <xdr:row>63</xdr:row>
                    <xdr:rowOff>85725</xdr:rowOff>
                  </from>
                  <to>
                    <xdr:col>2</xdr:col>
                    <xdr:colOff>447675</xdr:colOff>
                    <xdr:row>64</xdr:row>
                    <xdr:rowOff>142875</xdr:rowOff>
                  </to>
                </anchor>
              </controlPr>
            </control>
          </mc:Choice>
        </mc:AlternateContent>
        <mc:AlternateContent xmlns:mc="http://schemas.openxmlformats.org/markup-compatibility/2006">
          <mc:Choice Requires="x14">
            <control shapeId="2232" r:id="rId14" name="Check Box 184">
              <controlPr defaultSize="0" autoFill="0" autoLine="0" autoPict="0">
                <anchor moveWithCells="1" sizeWithCells="1">
                  <from>
                    <xdr:col>0</xdr:col>
                    <xdr:colOff>314325</xdr:colOff>
                    <xdr:row>65</xdr:row>
                    <xdr:rowOff>28575</xdr:rowOff>
                  </from>
                  <to>
                    <xdr:col>2</xdr:col>
                    <xdr:colOff>247650</xdr:colOff>
                    <xdr:row>66</xdr:row>
                    <xdr:rowOff>85725</xdr:rowOff>
                  </to>
                </anchor>
              </controlPr>
            </control>
          </mc:Choice>
        </mc:AlternateContent>
        <mc:AlternateContent xmlns:mc="http://schemas.openxmlformats.org/markup-compatibility/2006">
          <mc:Choice Requires="x14">
            <control shapeId="2233" r:id="rId15" name="Check Box 185">
              <controlPr defaultSize="0" autoFill="0" autoLine="0" autoPict="0">
                <anchor moveWithCells="1" sizeWithCells="1">
                  <from>
                    <xdr:col>0</xdr:col>
                    <xdr:colOff>314325</xdr:colOff>
                    <xdr:row>66</xdr:row>
                    <xdr:rowOff>123825</xdr:rowOff>
                  </from>
                  <to>
                    <xdr:col>2</xdr:col>
                    <xdr:colOff>247650</xdr:colOff>
                    <xdr:row>68</xdr:row>
                    <xdr:rowOff>19050</xdr:rowOff>
                  </to>
                </anchor>
              </controlPr>
            </control>
          </mc:Choice>
        </mc:AlternateContent>
        <mc:AlternateContent xmlns:mc="http://schemas.openxmlformats.org/markup-compatibility/2006">
          <mc:Choice Requires="x14">
            <control shapeId="2234" r:id="rId16" name="Check Box 186">
              <controlPr defaultSize="0" autoFill="0" autoLine="0" autoPict="0">
                <anchor moveWithCells="1" sizeWithCells="1">
                  <from>
                    <xdr:col>0</xdr:col>
                    <xdr:colOff>314325</xdr:colOff>
                    <xdr:row>68</xdr:row>
                    <xdr:rowOff>66675</xdr:rowOff>
                  </from>
                  <to>
                    <xdr:col>2</xdr:col>
                    <xdr:colOff>619125</xdr:colOff>
                    <xdr:row>69</xdr:row>
                    <xdr:rowOff>123825</xdr:rowOff>
                  </to>
                </anchor>
              </controlPr>
            </control>
          </mc:Choice>
        </mc:AlternateContent>
        <mc:AlternateContent xmlns:mc="http://schemas.openxmlformats.org/markup-compatibility/2006">
          <mc:Choice Requires="x14">
            <control shapeId="2235" r:id="rId17" name="Check Box 187">
              <controlPr defaultSize="0" autoFill="0" autoLine="0" autoPict="0">
                <anchor moveWithCells="1" sizeWithCells="1">
                  <from>
                    <xdr:col>0</xdr:col>
                    <xdr:colOff>314325</xdr:colOff>
                    <xdr:row>70</xdr:row>
                    <xdr:rowOff>0</xdr:rowOff>
                  </from>
                  <to>
                    <xdr:col>2</xdr:col>
                    <xdr:colOff>523875</xdr:colOff>
                    <xdr:row>71</xdr:row>
                    <xdr:rowOff>57150</xdr:rowOff>
                  </to>
                </anchor>
              </controlPr>
            </control>
          </mc:Choice>
        </mc:AlternateContent>
        <mc:AlternateContent xmlns:mc="http://schemas.openxmlformats.org/markup-compatibility/2006">
          <mc:Choice Requires="x14">
            <control shapeId="2236" r:id="rId18" name="Check Box 188">
              <controlPr defaultSize="0" autoFill="0" autoLine="0" autoPict="0">
                <anchor moveWithCells="1" sizeWithCells="1">
                  <from>
                    <xdr:col>0</xdr:col>
                    <xdr:colOff>314325</xdr:colOff>
                    <xdr:row>73</xdr:row>
                    <xdr:rowOff>38100</xdr:rowOff>
                  </from>
                  <to>
                    <xdr:col>2</xdr:col>
                    <xdr:colOff>695325</xdr:colOff>
                    <xdr:row>74</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998" yWindow="369" count="1">
        <x14:dataValidation type="list" allowBlank="1" showInputMessage="1" showErrorMessage="1">
          <x14:formula1>
            <xm:f>'Internal Server Paths'!$C$8:$C$14</xm:f>
          </x14:formula1>
          <xm:sqref>H6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I71"/>
  <sheetViews>
    <sheetView zoomScale="116" workbookViewId="0">
      <selection activeCell="B14" sqref="B14"/>
    </sheetView>
  </sheetViews>
  <sheetFormatPr defaultRowHeight="12.75" x14ac:dyDescent="0.2"/>
  <cols>
    <col min="1" max="1" width="3.140625" customWidth="1"/>
    <col min="2" max="2" width="7.85546875" bestFit="1" customWidth="1"/>
    <col min="3" max="3" width="0.85546875" customWidth="1"/>
    <col min="4" max="4" width="7.85546875" bestFit="1" customWidth="1"/>
    <col min="5" max="5" width="2.140625" customWidth="1"/>
    <col min="6" max="6" width="8.5703125" bestFit="1" customWidth="1"/>
    <col min="7" max="7" width="0.85546875" customWidth="1"/>
    <col min="8" max="8" width="8.42578125" customWidth="1"/>
    <col min="9" max="9" width="2.28515625" customWidth="1"/>
    <col min="10" max="10" width="7.85546875" bestFit="1" customWidth="1"/>
    <col min="11" max="11" width="0.85546875" customWidth="1"/>
    <col min="12" max="12" width="7.85546875" bestFit="1" customWidth="1"/>
    <col min="13" max="13" width="0.85546875" customWidth="1"/>
    <col min="14" max="14" width="7.85546875" bestFit="1" customWidth="1"/>
    <col min="15" max="15" width="2.140625" customWidth="1"/>
    <col min="16" max="16" width="7.85546875" bestFit="1" customWidth="1"/>
    <col min="17" max="17" width="1" customWidth="1"/>
    <col min="18" max="18" width="7.85546875" bestFit="1" customWidth="1"/>
    <col min="19" max="19" width="0.85546875" customWidth="1"/>
    <col min="20" max="20" width="7.85546875" bestFit="1" customWidth="1"/>
    <col min="21" max="21" width="0.85546875" customWidth="1"/>
    <col min="22" max="22" width="8" customWidth="1"/>
    <col min="23" max="23" width="1" customWidth="1"/>
    <col min="24" max="24" width="7.85546875" bestFit="1" customWidth="1"/>
    <col min="25" max="25" width="0.7109375" customWidth="1"/>
    <col min="26" max="26" width="7.85546875" bestFit="1" customWidth="1"/>
    <col min="27" max="27" width="0.7109375" customWidth="1"/>
    <col min="28" max="28" width="8.7109375" customWidth="1"/>
    <col min="29" max="29" width="1.85546875" customWidth="1"/>
    <col min="30" max="30" width="7.85546875" bestFit="1" customWidth="1"/>
    <col min="31" max="31" width="0.5703125" customWidth="1"/>
    <col min="32" max="32" width="7.85546875" bestFit="1" customWidth="1"/>
    <col min="33" max="33" width="1.5703125" bestFit="1" customWidth="1"/>
    <col min="34" max="34" width="7.85546875" bestFit="1" customWidth="1"/>
    <col min="35" max="35" width="1.5703125" bestFit="1" customWidth="1"/>
    <col min="36" max="36" width="7.85546875" bestFit="1" customWidth="1"/>
    <col min="37" max="37" width="1.5703125" bestFit="1" customWidth="1"/>
    <col min="38" max="38" width="7.85546875" bestFit="1" customWidth="1"/>
    <col min="39" max="39" width="1.5703125" bestFit="1" customWidth="1"/>
    <col min="40" max="40" width="7.85546875" bestFit="1" customWidth="1"/>
    <col min="41" max="41" width="1.5703125" bestFit="1" customWidth="1"/>
    <col min="42" max="42" width="7.85546875" bestFit="1" customWidth="1"/>
    <col min="43" max="43" width="1.5703125" bestFit="1" customWidth="1"/>
    <col min="44" max="44" width="7.85546875" bestFit="1" customWidth="1"/>
    <col min="45" max="45" width="1.5703125" bestFit="1" customWidth="1"/>
    <col min="46" max="46" width="7.85546875" bestFit="1" customWidth="1"/>
  </cols>
  <sheetData>
    <row r="1" spans="1:34" x14ac:dyDescent="0.2">
      <c r="A1" s="240"/>
      <c r="B1" s="240"/>
      <c r="C1" s="240"/>
      <c r="D1" s="240"/>
      <c r="E1" s="240"/>
      <c r="F1" s="240"/>
      <c r="G1" s="240"/>
      <c r="H1" s="240"/>
      <c r="I1" s="240"/>
      <c r="J1" s="240"/>
      <c r="K1" s="240"/>
      <c r="L1" s="240"/>
      <c r="M1" s="240"/>
      <c r="N1" s="240"/>
      <c r="O1" s="240"/>
      <c r="P1" s="240"/>
      <c r="Q1" s="240"/>
      <c r="R1" s="240"/>
      <c r="S1" s="240"/>
      <c r="T1" s="240"/>
      <c r="U1" s="240"/>
      <c r="V1" s="240"/>
      <c r="W1" s="240"/>
      <c r="X1" s="240"/>
      <c r="Y1" s="240"/>
      <c r="Z1" s="240"/>
      <c r="AA1" s="240"/>
      <c r="AB1" s="240"/>
      <c r="AC1" s="240"/>
      <c r="AD1" s="240"/>
      <c r="AE1" s="240"/>
      <c r="AF1" s="240"/>
      <c r="AG1" s="240"/>
      <c r="AH1" s="240"/>
    </row>
    <row r="2" spans="1:34" s="50" customFormat="1" ht="17.25" customHeight="1" x14ac:dyDescent="0.2">
      <c r="A2" s="51"/>
      <c r="B2" s="51"/>
      <c r="C2" s="51"/>
      <c r="D2" s="51"/>
      <c r="E2" s="51"/>
      <c r="F2" s="51"/>
      <c r="G2" s="51"/>
      <c r="H2" s="51"/>
      <c r="I2" s="51"/>
      <c r="J2" s="51"/>
      <c r="K2" s="51"/>
      <c r="L2" s="51"/>
      <c r="M2" s="51"/>
      <c r="N2" s="51"/>
      <c r="O2" s="51"/>
      <c r="P2" s="51"/>
      <c r="Q2" s="51"/>
      <c r="R2" s="51"/>
      <c r="S2" s="51"/>
      <c r="T2" s="51"/>
      <c r="U2" s="51"/>
      <c r="V2" s="51"/>
      <c r="W2" s="51"/>
      <c r="X2" s="51"/>
      <c r="Y2" s="51"/>
      <c r="Z2" s="51"/>
      <c r="AA2" s="51"/>
      <c r="AB2" s="51"/>
      <c r="AC2" s="51"/>
      <c r="AD2" s="51"/>
      <c r="AE2" s="51"/>
      <c r="AF2" s="51"/>
      <c r="AG2" s="51"/>
      <c r="AH2" s="51"/>
    </row>
    <row r="3" spans="1:34" s="55" customFormat="1" ht="37.5" customHeight="1" x14ac:dyDescent="0.2">
      <c r="A3" s="54"/>
      <c r="B3" s="56">
        <v>1</v>
      </c>
      <c r="C3" s="54"/>
      <c r="D3" s="56">
        <v>2</v>
      </c>
      <c r="E3" s="54"/>
      <c r="F3" s="56">
        <v>3</v>
      </c>
      <c r="G3" s="54"/>
      <c r="H3" s="56">
        <v>4</v>
      </c>
      <c r="I3" s="54"/>
      <c r="J3" s="56">
        <v>5</v>
      </c>
      <c r="K3" s="54"/>
      <c r="L3" s="56">
        <v>6</v>
      </c>
      <c r="M3" s="54"/>
      <c r="N3" s="56">
        <v>7</v>
      </c>
      <c r="O3" s="54"/>
      <c r="P3" s="56">
        <v>8</v>
      </c>
      <c r="Q3" s="54"/>
      <c r="R3" s="56">
        <v>9</v>
      </c>
      <c r="S3" s="54"/>
      <c r="T3" s="56">
        <v>10</v>
      </c>
      <c r="U3" s="54"/>
      <c r="V3" s="56">
        <v>11</v>
      </c>
      <c r="W3" s="54"/>
      <c r="X3" s="56">
        <v>12</v>
      </c>
      <c r="Y3" s="54"/>
      <c r="Z3" s="56">
        <v>13</v>
      </c>
      <c r="AA3" s="54"/>
      <c r="AB3" s="56">
        <v>14</v>
      </c>
      <c r="AC3" s="54"/>
      <c r="AD3" s="56">
        <v>15</v>
      </c>
      <c r="AE3" s="54"/>
      <c r="AF3" s="56">
        <v>16</v>
      </c>
      <c r="AG3" s="54"/>
      <c r="AH3" s="54"/>
    </row>
    <row r="4" spans="1:34" s="3" customFormat="1" x14ac:dyDescent="0.2">
      <c r="A4" s="53"/>
      <c r="B4" s="53"/>
      <c r="C4" s="53"/>
      <c r="D4" s="53"/>
      <c r="E4" s="53"/>
      <c r="F4" s="53"/>
      <c r="G4" s="53"/>
      <c r="H4" s="53"/>
      <c r="I4" s="53"/>
      <c r="J4" s="53"/>
      <c r="K4" s="53"/>
      <c r="L4" s="53"/>
      <c r="M4" s="53"/>
      <c r="N4" s="53"/>
      <c r="O4" s="53"/>
      <c r="P4" s="53"/>
      <c r="Q4" s="53"/>
      <c r="R4" s="53"/>
      <c r="S4" s="53"/>
      <c r="T4" s="53"/>
      <c r="U4" s="53"/>
      <c r="V4" s="53"/>
      <c r="W4" s="53"/>
      <c r="X4" s="53"/>
      <c r="Y4" s="53"/>
      <c r="Z4" s="53"/>
      <c r="AA4" s="53"/>
      <c r="AB4" s="53"/>
      <c r="AC4" s="53"/>
      <c r="AD4" s="53"/>
      <c r="AE4" s="53"/>
      <c r="AF4" s="53"/>
      <c r="AG4" s="53"/>
      <c r="AH4" s="53"/>
    </row>
    <row r="5" spans="1:34" s="59" customFormat="1" ht="12" hidden="1" thickBot="1" x14ac:dyDescent="0.25">
      <c r="A5" s="57"/>
      <c r="B5" s="58" t="s">
        <v>606</v>
      </c>
      <c r="C5" s="57"/>
      <c r="D5" s="58" t="s">
        <v>607</v>
      </c>
      <c r="E5" s="57"/>
      <c r="F5" s="58" t="s">
        <v>608</v>
      </c>
      <c r="G5" s="57"/>
      <c r="H5" s="58" t="s">
        <v>609</v>
      </c>
      <c r="I5" s="57"/>
      <c r="J5" s="58" t="s">
        <v>610</v>
      </c>
      <c r="K5" s="57"/>
      <c r="L5" s="58" t="s">
        <v>611</v>
      </c>
      <c r="M5" s="57"/>
      <c r="N5" s="58" t="s">
        <v>612</v>
      </c>
      <c r="O5" s="57"/>
      <c r="P5" s="58" t="s">
        <v>613</v>
      </c>
      <c r="Q5" s="57"/>
      <c r="R5" s="58" t="s">
        <v>614</v>
      </c>
      <c r="S5" s="57"/>
      <c r="T5" s="58" t="s">
        <v>615</v>
      </c>
      <c r="U5" s="57"/>
      <c r="V5" s="58" t="s">
        <v>616</v>
      </c>
      <c r="W5" s="57"/>
      <c r="X5" s="58" t="s">
        <v>617</v>
      </c>
      <c r="Y5" s="57"/>
      <c r="Z5" s="58" t="s">
        <v>618</v>
      </c>
      <c r="AA5" s="57"/>
      <c r="AB5" s="58" t="s">
        <v>619</v>
      </c>
      <c r="AC5" s="57"/>
      <c r="AD5" s="58" t="s">
        <v>620</v>
      </c>
      <c r="AE5" s="57"/>
      <c r="AF5" s="58" t="s">
        <v>621</v>
      </c>
      <c r="AG5" s="57"/>
      <c r="AH5" s="57"/>
    </row>
    <row r="6" spans="1:34" x14ac:dyDescent="0.2">
      <c r="A6" s="52"/>
      <c r="B6" s="52"/>
      <c r="C6" s="52"/>
      <c r="D6" s="52"/>
      <c r="E6" s="52"/>
      <c r="F6" s="52"/>
      <c r="G6" s="52"/>
      <c r="H6" s="52"/>
      <c r="I6" s="52"/>
      <c r="J6" s="52"/>
      <c r="K6" s="52"/>
      <c r="L6" s="52"/>
      <c r="M6" s="52"/>
      <c r="N6" s="52"/>
      <c r="O6" s="52"/>
      <c r="P6" s="52"/>
      <c r="Q6" s="52"/>
      <c r="R6" s="52"/>
      <c r="S6" s="52"/>
      <c r="T6" s="52"/>
      <c r="U6" s="52"/>
      <c r="V6" s="52"/>
      <c r="W6" s="52"/>
      <c r="X6" s="52"/>
      <c r="Y6" s="52"/>
      <c r="Z6" s="52"/>
      <c r="AA6" s="52"/>
      <c r="AB6" s="52"/>
      <c r="AC6" s="52"/>
      <c r="AD6" s="52"/>
      <c r="AE6" s="52"/>
      <c r="AF6" s="52"/>
      <c r="AG6" s="52"/>
      <c r="AH6" s="52"/>
    </row>
    <row r="7" spans="1:34" x14ac:dyDescent="0.2">
      <c r="A7" s="52"/>
      <c r="B7" s="52"/>
      <c r="C7" s="52"/>
      <c r="D7" s="52"/>
      <c r="E7" s="52"/>
      <c r="F7" s="52"/>
      <c r="G7" s="52"/>
      <c r="H7" s="52"/>
      <c r="I7" s="52"/>
      <c r="J7" s="52"/>
      <c r="K7" s="52"/>
      <c r="L7" s="52"/>
      <c r="M7" s="52"/>
      <c r="N7" s="52"/>
      <c r="O7" s="52"/>
      <c r="P7" s="52"/>
      <c r="Q7" s="52"/>
      <c r="R7" s="52"/>
      <c r="S7" s="52"/>
      <c r="T7" s="52"/>
      <c r="U7" s="52"/>
      <c r="V7" s="52"/>
      <c r="W7" s="52"/>
      <c r="X7" s="52"/>
      <c r="Y7" s="52"/>
      <c r="Z7" s="52"/>
      <c r="AA7" s="52"/>
      <c r="AB7" s="52"/>
      <c r="AC7" s="52"/>
      <c r="AD7" s="52"/>
      <c r="AE7" s="52"/>
      <c r="AF7" s="52"/>
      <c r="AG7" s="52"/>
      <c r="AH7" s="52"/>
    </row>
    <row r="8" spans="1:34" s="59" customFormat="1" ht="12" thickBot="1" x14ac:dyDescent="0.25">
      <c r="A8" s="57"/>
      <c r="B8" s="58" t="s">
        <v>617</v>
      </c>
      <c r="C8" s="57"/>
      <c r="D8" s="58" t="s">
        <v>618</v>
      </c>
      <c r="E8" s="57"/>
      <c r="F8" s="58" t="s">
        <v>606</v>
      </c>
      <c r="G8" s="57"/>
      <c r="H8" s="58" t="s">
        <v>607</v>
      </c>
      <c r="I8" s="57"/>
      <c r="J8" s="58" t="s">
        <v>619</v>
      </c>
      <c r="K8" s="57"/>
      <c r="L8" s="58" t="s">
        <v>649</v>
      </c>
      <c r="M8" s="57"/>
      <c r="N8" s="58" t="s">
        <v>650</v>
      </c>
      <c r="O8" s="57"/>
      <c r="P8" s="58" t="s">
        <v>613</v>
      </c>
      <c r="Q8" s="57"/>
      <c r="R8" s="58" t="s">
        <v>614</v>
      </c>
      <c r="S8" s="57"/>
      <c r="T8" s="58" t="s">
        <v>615</v>
      </c>
      <c r="U8" s="57"/>
      <c r="V8" s="58" t="s">
        <v>616</v>
      </c>
      <c r="W8" s="57"/>
      <c r="X8" s="58" t="s">
        <v>648</v>
      </c>
      <c r="Y8" s="57"/>
      <c r="Z8" s="58" t="s">
        <v>651</v>
      </c>
      <c r="AA8" s="57"/>
      <c r="AB8" s="58" t="s">
        <v>609</v>
      </c>
      <c r="AC8" s="57"/>
      <c r="AD8" s="58" t="s">
        <v>620</v>
      </c>
      <c r="AE8" s="57"/>
      <c r="AF8" s="58" t="s">
        <v>621</v>
      </c>
      <c r="AG8" s="57"/>
      <c r="AH8" s="57"/>
    </row>
    <row r="9" spans="1:34" x14ac:dyDescent="0.2">
      <c r="A9" s="52"/>
      <c r="B9" s="52"/>
      <c r="C9" s="52"/>
      <c r="D9" s="52"/>
      <c r="E9" s="52"/>
      <c r="F9" s="52"/>
      <c r="G9" s="52"/>
      <c r="H9" s="52"/>
      <c r="I9" s="52"/>
      <c r="J9" s="52"/>
      <c r="K9" s="52"/>
      <c r="L9" s="52"/>
      <c r="M9" s="52"/>
      <c r="N9" s="52"/>
      <c r="O9" s="52"/>
      <c r="P9" s="52"/>
      <c r="Q9" s="52"/>
      <c r="R9" s="52"/>
      <c r="S9" s="52"/>
      <c r="T9" s="52"/>
      <c r="U9" s="52"/>
      <c r="V9" s="52"/>
      <c r="W9" s="52"/>
      <c r="X9" s="52"/>
      <c r="Y9" s="52"/>
      <c r="Z9" s="52"/>
      <c r="AA9" s="52"/>
      <c r="AB9" s="52"/>
      <c r="AC9" s="52"/>
      <c r="AD9" s="52"/>
      <c r="AE9" s="52"/>
      <c r="AF9" s="52"/>
      <c r="AG9" s="52"/>
      <c r="AH9" s="52"/>
    </row>
    <row r="10" spans="1:34" x14ac:dyDescent="0.2">
      <c r="A10" s="52"/>
      <c r="B10" s="52"/>
      <c r="C10" s="52"/>
      <c r="D10" s="52"/>
      <c r="E10" s="52"/>
      <c r="F10" s="52"/>
      <c r="G10" s="52"/>
      <c r="H10" s="52"/>
      <c r="I10" s="52"/>
      <c r="J10" s="52"/>
      <c r="K10" s="52"/>
      <c r="L10" s="52"/>
      <c r="M10" s="52"/>
      <c r="N10" s="52"/>
      <c r="O10" s="52"/>
      <c r="P10" s="52"/>
      <c r="Q10" s="52"/>
      <c r="R10" s="52"/>
      <c r="S10" s="52"/>
      <c r="T10" s="52"/>
      <c r="U10" s="52"/>
      <c r="V10" s="52"/>
      <c r="W10" s="52"/>
      <c r="X10" s="52"/>
      <c r="Y10" s="52"/>
      <c r="Z10" s="52"/>
      <c r="AA10" s="52"/>
      <c r="AB10" s="52"/>
      <c r="AC10" s="52"/>
      <c r="AD10" s="52"/>
      <c r="AE10" s="52"/>
      <c r="AF10" s="52"/>
      <c r="AG10" s="52"/>
      <c r="AH10" s="52"/>
    </row>
    <row r="11" spans="1:34" x14ac:dyDescent="0.2">
      <c r="A11" s="52"/>
      <c r="B11" s="52"/>
      <c r="C11" s="52"/>
      <c r="D11" s="52"/>
      <c r="E11" s="52"/>
      <c r="F11" s="52"/>
      <c r="G11" s="52"/>
      <c r="H11" s="52"/>
      <c r="I11" s="52"/>
      <c r="J11" s="52"/>
      <c r="K11" s="52"/>
      <c r="L11" s="52"/>
      <c r="M11" s="52"/>
      <c r="N11" s="52"/>
      <c r="O11" s="52"/>
      <c r="P11" s="52"/>
      <c r="Q11" s="52"/>
      <c r="R11" s="52"/>
      <c r="S11" s="52"/>
      <c r="T11" s="52"/>
      <c r="U11" s="52"/>
      <c r="V11" s="52"/>
      <c r="W11" s="52"/>
      <c r="X11" s="52"/>
      <c r="Y11" s="52"/>
      <c r="Z11" s="52"/>
      <c r="AA11" s="52"/>
      <c r="AB11" s="52"/>
      <c r="AC11" s="52"/>
      <c r="AD11" s="52"/>
      <c r="AE11" s="52"/>
      <c r="AF11" s="52"/>
      <c r="AG11" s="52"/>
      <c r="AH11" s="52"/>
    </row>
    <row r="12" spans="1:34" x14ac:dyDescent="0.2">
      <c r="A12" s="52"/>
      <c r="B12" s="52"/>
      <c r="C12" s="52"/>
      <c r="D12" s="52"/>
      <c r="E12" s="52"/>
      <c r="F12" s="52"/>
      <c r="G12" s="52"/>
      <c r="H12" s="52"/>
      <c r="I12" s="52"/>
      <c r="J12" s="52"/>
      <c r="K12" s="52"/>
      <c r="L12" s="52"/>
      <c r="M12" s="52"/>
      <c r="N12" s="52"/>
      <c r="O12" s="52"/>
      <c r="P12" s="52"/>
      <c r="Q12" s="52"/>
      <c r="R12" s="52"/>
      <c r="S12" s="52"/>
      <c r="T12" s="52"/>
      <c r="U12" s="52"/>
      <c r="V12" s="52"/>
      <c r="W12" s="52"/>
      <c r="X12" s="52"/>
      <c r="Y12" s="52"/>
      <c r="Z12" s="52"/>
      <c r="AA12" s="52"/>
      <c r="AB12" s="52"/>
      <c r="AC12" s="52"/>
      <c r="AD12" s="52"/>
      <c r="AE12" s="52"/>
      <c r="AF12" s="52"/>
      <c r="AG12" s="52"/>
      <c r="AH12" s="52"/>
    </row>
    <row r="13" spans="1:34" x14ac:dyDescent="0.2">
      <c r="A13" s="52"/>
      <c r="B13" s="52"/>
      <c r="C13" s="52"/>
      <c r="D13" s="52"/>
      <c r="E13" s="52"/>
      <c r="F13" s="52"/>
      <c r="G13" s="52"/>
      <c r="H13" s="52"/>
      <c r="I13" s="52"/>
      <c r="J13" s="52"/>
      <c r="K13" s="52"/>
      <c r="L13" s="52"/>
      <c r="M13" s="52"/>
      <c r="N13" s="52"/>
      <c r="O13" s="52"/>
      <c r="P13" s="52"/>
      <c r="Q13" s="52"/>
      <c r="R13" s="52"/>
      <c r="S13" s="52"/>
      <c r="T13" s="52"/>
      <c r="U13" s="52"/>
      <c r="V13" s="52"/>
      <c r="W13" s="52"/>
      <c r="X13" s="52"/>
      <c r="Y13" s="52"/>
      <c r="Z13" s="52"/>
      <c r="AA13" s="52"/>
      <c r="AB13" s="52"/>
      <c r="AC13" s="52"/>
      <c r="AD13" s="52"/>
      <c r="AE13" s="52"/>
      <c r="AF13" s="52"/>
      <c r="AG13" s="52"/>
      <c r="AH13" s="52"/>
    </row>
    <row r="14" spans="1:34" x14ac:dyDescent="0.2">
      <c r="A14" s="52"/>
      <c r="B14" s="52"/>
      <c r="C14" s="52"/>
      <c r="D14" s="52"/>
      <c r="E14" s="52"/>
      <c r="F14" s="52"/>
      <c r="G14" s="52"/>
      <c r="H14" s="52"/>
      <c r="I14" s="52"/>
      <c r="J14" s="52"/>
      <c r="K14" s="52"/>
      <c r="L14" s="52"/>
      <c r="M14" s="52"/>
      <c r="N14" s="52"/>
      <c r="O14" s="52"/>
      <c r="P14" s="52"/>
      <c r="Q14" s="52"/>
      <c r="R14" s="52"/>
      <c r="S14" s="52"/>
      <c r="T14" s="52"/>
      <c r="U14" s="52"/>
      <c r="V14" s="52"/>
      <c r="W14" s="52"/>
      <c r="X14" s="52"/>
      <c r="Y14" s="52"/>
      <c r="Z14" s="52"/>
      <c r="AA14" s="52"/>
      <c r="AB14" s="52"/>
      <c r="AC14" s="52"/>
      <c r="AD14" s="52"/>
      <c r="AE14" s="52"/>
      <c r="AF14" s="52"/>
      <c r="AG14" s="52"/>
      <c r="AH14" s="52"/>
    </row>
    <row r="15" spans="1:34" x14ac:dyDescent="0.2">
      <c r="A15" s="52"/>
      <c r="B15" s="52"/>
      <c r="C15" s="52"/>
      <c r="D15" s="52"/>
      <c r="E15" s="52"/>
      <c r="F15" s="52"/>
      <c r="G15" s="52"/>
      <c r="H15" s="52"/>
      <c r="I15" s="52"/>
      <c r="J15" s="52"/>
      <c r="K15" s="52"/>
      <c r="L15" s="52"/>
      <c r="M15" s="52"/>
      <c r="N15" s="52"/>
      <c r="O15" s="52"/>
      <c r="P15" s="52"/>
      <c r="Q15" s="52"/>
      <c r="R15" s="52"/>
      <c r="S15" s="52"/>
      <c r="T15" s="52"/>
      <c r="U15" s="52"/>
      <c r="V15" s="52"/>
      <c r="W15" s="52"/>
      <c r="X15" s="52"/>
      <c r="Y15" s="52"/>
      <c r="Z15" s="52"/>
      <c r="AA15" s="52"/>
      <c r="AB15" s="52"/>
      <c r="AC15" s="52"/>
      <c r="AD15" s="52"/>
      <c r="AE15" s="52"/>
      <c r="AF15" s="52"/>
      <c r="AG15" s="52"/>
      <c r="AH15" s="52"/>
    </row>
    <row r="16" spans="1:34" x14ac:dyDescent="0.2">
      <c r="A16" s="52"/>
      <c r="B16" s="52"/>
      <c r="C16" s="52"/>
      <c r="D16" s="52"/>
      <c r="E16" s="52"/>
      <c r="F16" s="52"/>
      <c r="G16" s="52"/>
      <c r="H16" s="52"/>
      <c r="I16" s="52"/>
      <c r="J16" s="52"/>
      <c r="K16" s="52"/>
      <c r="L16" s="52"/>
      <c r="M16" s="52"/>
      <c r="N16" s="52"/>
      <c r="O16" s="52"/>
      <c r="P16" s="52"/>
      <c r="Q16" s="52"/>
      <c r="R16" s="52"/>
      <c r="S16" s="52"/>
      <c r="T16" s="52"/>
      <c r="U16" s="52"/>
      <c r="V16" s="52"/>
      <c r="W16" s="52"/>
      <c r="X16" s="52"/>
      <c r="Y16" s="52"/>
      <c r="Z16" s="52"/>
      <c r="AA16" s="52"/>
      <c r="AB16" s="52"/>
      <c r="AC16" s="52"/>
      <c r="AD16" s="52"/>
      <c r="AE16" s="52"/>
      <c r="AF16" s="52"/>
      <c r="AG16" s="52"/>
      <c r="AH16" s="52"/>
    </row>
    <row r="23" spans="1:35" x14ac:dyDescent="0.2">
      <c r="A23" s="63"/>
      <c r="B23" s="63"/>
      <c r="C23" s="63"/>
      <c r="D23" s="63"/>
      <c r="E23" s="63"/>
      <c r="F23" s="63"/>
      <c r="G23" s="63"/>
      <c r="H23" s="63"/>
      <c r="I23" s="63"/>
      <c r="J23" s="63"/>
    </row>
    <row r="24" spans="1:35" x14ac:dyDescent="0.2">
      <c r="A24" s="63"/>
      <c r="B24" s="63" t="s">
        <v>72</v>
      </c>
      <c r="C24" s="63"/>
      <c r="D24" s="63"/>
      <c r="E24" s="63"/>
      <c r="F24" s="63" t="s">
        <v>652</v>
      </c>
      <c r="G24" s="63"/>
      <c r="H24" s="63"/>
      <c r="I24" s="63"/>
      <c r="J24" s="63"/>
      <c r="L24" t="s">
        <v>72</v>
      </c>
      <c r="P24" t="s">
        <v>653</v>
      </c>
    </row>
    <row r="25" spans="1:35" x14ac:dyDescent="0.2">
      <c r="A25" s="63"/>
      <c r="B25" s="63" t="s">
        <v>73</v>
      </c>
      <c r="C25" s="63"/>
      <c r="D25" s="63"/>
      <c r="E25" s="63"/>
      <c r="F25" s="63"/>
      <c r="G25" s="63"/>
      <c r="H25" s="63"/>
      <c r="I25" s="63"/>
      <c r="J25" s="63"/>
      <c r="L25" s="62" t="s">
        <v>73</v>
      </c>
    </row>
    <row r="26" spans="1:35" x14ac:dyDescent="0.2">
      <c r="A26" s="63"/>
      <c r="B26" s="63" t="s">
        <v>74</v>
      </c>
      <c r="C26" s="63"/>
      <c r="D26" s="63"/>
      <c r="E26" s="63"/>
      <c r="F26" s="63"/>
      <c r="G26" s="63"/>
      <c r="H26" s="63"/>
      <c r="I26" s="63"/>
      <c r="J26" s="63"/>
      <c r="L26" s="62" t="s">
        <v>74</v>
      </c>
    </row>
    <row r="27" spans="1:35" x14ac:dyDescent="0.2">
      <c r="A27" s="63"/>
      <c r="B27" s="63" t="s">
        <v>75</v>
      </c>
      <c r="C27" s="63"/>
      <c r="D27" s="63"/>
      <c r="E27" s="63"/>
      <c r="F27" s="63"/>
      <c r="G27" s="63"/>
      <c r="H27" s="63"/>
      <c r="I27" s="63"/>
      <c r="J27" s="63"/>
      <c r="L27" s="62" t="s">
        <v>75</v>
      </c>
      <c r="X27" s="234" t="s">
        <v>657</v>
      </c>
      <c r="Y27" s="234"/>
      <c r="Z27" s="234"/>
      <c r="AA27" s="234"/>
      <c r="AB27" s="234"/>
      <c r="AC27" s="235" t="s">
        <v>666</v>
      </c>
      <c r="AD27" s="236"/>
      <c r="AE27" s="237"/>
      <c r="AF27" s="234" t="s">
        <v>668</v>
      </c>
      <c r="AG27" s="234"/>
      <c r="AH27" s="242" t="s">
        <v>667</v>
      </c>
      <c r="AI27" s="242"/>
    </row>
    <row r="28" spans="1:35" x14ac:dyDescent="0.2">
      <c r="A28" s="63"/>
      <c r="B28" s="63" t="s">
        <v>76</v>
      </c>
      <c r="C28" s="63"/>
      <c r="D28" s="63"/>
      <c r="E28" s="63"/>
      <c r="F28" s="63"/>
      <c r="G28" s="63"/>
      <c r="H28" s="63"/>
      <c r="I28" s="63"/>
      <c r="J28" s="63"/>
      <c r="L28" s="62" t="str">
        <f t="shared" ref="L28:L43" si="0">TEXT(AC28,"00")&amp;"="&amp;X28&amp;","&amp;AC28-1+0.2+AH28&amp;","&amp;AF28&amp;","&amp;AF28</f>
        <v>01=BB_Autoscale,0.2,AutoScale,AutoScale</v>
      </c>
      <c r="X28" s="241" t="s">
        <v>625</v>
      </c>
      <c r="Y28" s="241"/>
      <c r="Z28" s="241"/>
      <c r="AA28" s="241"/>
      <c r="AB28" s="241"/>
      <c r="AC28" s="238">
        <v>1</v>
      </c>
      <c r="AD28" s="238"/>
      <c r="AE28" s="238"/>
      <c r="AF28" s="239" t="s">
        <v>617</v>
      </c>
      <c r="AG28" s="239"/>
      <c r="AH28" s="233">
        <v>0</v>
      </c>
      <c r="AI28" s="233"/>
    </row>
    <row r="29" spans="1:35" x14ac:dyDescent="0.2">
      <c r="A29" s="63"/>
      <c r="B29" s="63" t="s">
        <v>77</v>
      </c>
      <c r="C29" s="63"/>
      <c r="D29" s="63"/>
      <c r="E29" s="63"/>
      <c r="F29" s="63"/>
      <c r="G29" s="63"/>
      <c r="H29" s="63"/>
      <c r="I29" s="63"/>
      <c r="J29" s="63"/>
      <c r="L29" s="62" t="str">
        <f t="shared" si="0"/>
        <v>02=BB_Reset,1.2,Reset,Reset</v>
      </c>
      <c r="X29" s="241" t="s">
        <v>630</v>
      </c>
      <c r="Y29" s="241"/>
      <c r="Z29" s="241"/>
      <c r="AA29" s="241"/>
      <c r="AB29" s="241"/>
      <c r="AC29" s="238">
        <f t="shared" ref="AC29:AC43" si="1">AC28+1</f>
        <v>2</v>
      </c>
      <c r="AD29" s="238"/>
      <c r="AE29" s="238"/>
      <c r="AF29" s="239" t="s">
        <v>618</v>
      </c>
      <c r="AG29" s="239"/>
      <c r="AH29" s="233">
        <v>0</v>
      </c>
      <c r="AI29" s="233"/>
    </row>
    <row r="30" spans="1:35" x14ac:dyDescent="0.2">
      <c r="A30" s="63"/>
      <c r="B30" s="63" t="s">
        <v>78</v>
      </c>
      <c r="C30" s="63"/>
      <c r="D30" s="63"/>
      <c r="E30" s="63"/>
      <c r="F30" s="63"/>
      <c r="G30" s="63"/>
      <c r="H30" s="63"/>
      <c r="I30" s="63"/>
      <c r="J30" s="63"/>
      <c r="L30" s="62" t="str">
        <f t="shared" si="0"/>
        <v>03=BB_SelectAll,2.4,Select All,Select All</v>
      </c>
      <c r="X30" s="241" t="s">
        <v>632</v>
      </c>
      <c r="Y30" s="241"/>
      <c r="Z30" s="241"/>
      <c r="AA30" s="241"/>
      <c r="AB30" s="241"/>
      <c r="AC30" s="238">
        <f t="shared" si="1"/>
        <v>3</v>
      </c>
      <c r="AD30" s="238"/>
      <c r="AE30" s="238"/>
      <c r="AF30" s="239" t="s">
        <v>606</v>
      </c>
      <c r="AG30" s="239"/>
      <c r="AH30" s="233">
        <v>0.2</v>
      </c>
      <c r="AI30" s="233"/>
    </row>
    <row r="31" spans="1:35" x14ac:dyDescent="0.2">
      <c r="A31" s="63"/>
      <c r="B31" s="63" t="s">
        <v>79</v>
      </c>
      <c r="C31" s="63"/>
      <c r="D31" s="63"/>
      <c r="E31" s="63"/>
      <c r="F31" s="63"/>
      <c r="G31" s="63"/>
      <c r="H31" s="63"/>
      <c r="I31" s="63"/>
      <c r="J31" s="63"/>
      <c r="L31" s="62" t="str">
        <f t="shared" si="0"/>
        <v>04=BB_Select,3.4,Select,Select</v>
      </c>
      <c r="X31" s="241" t="s">
        <v>633</v>
      </c>
      <c r="Y31" s="241"/>
      <c r="Z31" s="241"/>
      <c r="AA31" s="241"/>
      <c r="AB31" s="241"/>
      <c r="AC31" s="238">
        <f t="shared" si="1"/>
        <v>4</v>
      </c>
      <c r="AD31" s="238"/>
      <c r="AE31" s="238"/>
      <c r="AF31" s="239" t="s">
        <v>607</v>
      </c>
      <c r="AG31" s="239"/>
      <c r="AH31" s="233">
        <v>0.2</v>
      </c>
      <c r="AI31" s="233"/>
    </row>
    <row r="32" spans="1:35" x14ac:dyDescent="0.2">
      <c r="A32" s="63"/>
      <c r="B32" s="63" t="s">
        <v>80</v>
      </c>
      <c r="C32" s="63"/>
      <c r="D32" s="63"/>
      <c r="E32" s="63"/>
      <c r="F32" s="63"/>
      <c r="G32" s="63"/>
      <c r="H32" s="63"/>
      <c r="I32" s="63"/>
      <c r="J32" s="63"/>
      <c r="L32" s="62" t="str">
        <f t="shared" si="0"/>
        <v>05=BB_ClearSpectralHistory,4.6,ClrSpcHst,ClrSpcHst</v>
      </c>
      <c r="X32" s="241" t="s">
        <v>627</v>
      </c>
      <c r="Y32" s="241"/>
      <c r="Z32" s="241"/>
      <c r="AA32" s="241"/>
      <c r="AB32" s="241"/>
      <c r="AC32" s="238">
        <f t="shared" si="1"/>
        <v>5</v>
      </c>
      <c r="AD32" s="238"/>
      <c r="AE32" s="238"/>
      <c r="AF32" s="239" t="s">
        <v>658</v>
      </c>
      <c r="AG32" s="239"/>
      <c r="AH32" s="233">
        <v>0.4</v>
      </c>
      <c r="AI32" s="233"/>
    </row>
    <row r="33" spans="1:35" x14ac:dyDescent="0.2">
      <c r="A33" s="63"/>
      <c r="B33" s="63" t="s">
        <v>81</v>
      </c>
      <c r="C33" s="63"/>
      <c r="D33" s="63"/>
      <c r="E33" s="63"/>
      <c r="F33" s="63"/>
      <c r="G33" s="63"/>
      <c r="H33" s="63"/>
      <c r="I33" s="63"/>
      <c r="J33" s="63"/>
      <c r="L33" s="62" t="str">
        <f t="shared" si="0"/>
        <v>06=BB_ClearTemporalHistory,5.6,ClrTmHst,ClrTmHst</v>
      </c>
      <c r="X33" s="241" t="s">
        <v>628</v>
      </c>
      <c r="Y33" s="241"/>
      <c r="Z33" s="241"/>
      <c r="AA33" s="241"/>
      <c r="AB33" s="241"/>
      <c r="AC33" s="238">
        <f t="shared" si="1"/>
        <v>6</v>
      </c>
      <c r="AD33" s="238"/>
      <c r="AE33" s="238"/>
      <c r="AF33" s="239" t="s">
        <v>659</v>
      </c>
      <c r="AG33" s="239"/>
      <c r="AH33" s="233">
        <v>0.4</v>
      </c>
      <c r="AI33" s="233"/>
    </row>
    <row r="34" spans="1:35" x14ac:dyDescent="0.2">
      <c r="A34" s="63"/>
      <c r="B34" s="63" t="s">
        <v>82</v>
      </c>
      <c r="C34" s="63"/>
      <c r="D34" s="63"/>
      <c r="E34" s="63"/>
      <c r="F34" s="63"/>
      <c r="G34" s="63"/>
      <c r="H34" s="63"/>
      <c r="I34" s="63"/>
      <c r="J34" s="63"/>
      <c r="L34" s="62" t="str">
        <f t="shared" si="0"/>
        <v>07=BB_ResetAllPeakHold,6.6,ResetPks,ResetPks</v>
      </c>
      <c r="X34" s="241" t="s">
        <v>626</v>
      </c>
      <c r="Y34" s="241"/>
      <c r="Z34" s="241"/>
      <c r="AA34" s="241"/>
      <c r="AB34" s="241"/>
      <c r="AC34" s="238">
        <f t="shared" si="1"/>
        <v>7</v>
      </c>
      <c r="AD34" s="238"/>
      <c r="AE34" s="238"/>
      <c r="AF34" s="239" t="s">
        <v>660</v>
      </c>
      <c r="AG34" s="239"/>
      <c r="AH34" s="233">
        <v>0.4</v>
      </c>
      <c r="AI34" s="233"/>
    </row>
    <row r="35" spans="1:35" x14ac:dyDescent="0.2">
      <c r="A35" s="63"/>
      <c r="B35" s="63" t="s">
        <v>83</v>
      </c>
      <c r="C35" s="63"/>
      <c r="D35" s="63"/>
      <c r="E35" s="63"/>
      <c r="F35" s="63"/>
      <c r="G35" s="63"/>
      <c r="H35" s="63"/>
      <c r="I35" s="63"/>
      <c r="J35" s="63"/>
      <c r="L35" s="62" t="str">
        <f t="shared" si="0"/>
        <v>08=BB_CursorPeakTrack,7.8,CsrTrack,CsrTrack</v>
      </c>
      <c r="X35" s="241" t="s">
        <v>636</v>
      </c>
      <c r="Y35" s="241"/>
      <c r="Z35" s="241"/>
      <c r="AA35" s="241"/>
      <c r="AB35" s="241"/>
      <c r="AC35" s="238">
        <f t="shared" si="1"/>
        <v>8</v>
      </c>
      <c r="AD35" s="238"/>
      <c r="AE35" s="238"/>
      <c r="AF35" s="239" t="s">
        <v>613</v>
      </c>
      <c r="AG35" s="239"/>
      <c r="AH35" s="233">
        <v>0.6</v>
      </c>
      <c r="AI35" s="233"/>
    </row>
    <row r="36" spans="1:35" x14ac:dyDescent="0.2">
      <c r="A36" s="63"/>
      <c r="B36" s="63" t="s">
        <v>84</v>
      </c>
      <c r="C36" s="63"/>
      <c r="D36" s="63"/>
      <c r="E36" s="63"/>
      <c r="F36" s="63"/>
      <c r="G36" s="63"/>
      <c r="H36" s="63"/>
      <c r="I36" s="63"/>
      <c r="J36" s="63"/>
      <c r="L36" s="62" t="str">
        <f t="shared" si="0"/>
        <v>09=BB_CursorLock,8.8,CsrLock,CsrLock</v>
      </c>
      <c r="X36" s="241" t="s">
        <v>637</v>
      </c>
      <c r="Y36" s="241"/>
      <c r="Z36" s="241"/>
      <c r="AA36" s="241"/>
      <c r="AB36" s="241"/>
      <c r="AC36" s="238">
        <f t="shared" si="1"/>
        <v>9</v>
      </c>
      <c r="AD36" s="238"/>
      <c r="AE36" s="238"/>
      <c r="AF36" s="239" t="s">
        <v>614</v>
      </c>
      <c r="AG36" s="239"/>
      <c r="AH36" s="233">
        <v>0.6</v>
      </c>
      <c r="AI36" s="233"/>
    </row>
    <row r="37" spans="1:35" x14ac:dyDescent="0.2">
      <c r="A37" s="63"/>
      <c r="B37" s="63" t="s">
        <v>85</v>
      </c>
      <c r="C37" s="63"/>
      <c r="D37" s="63"/>
      <c r="E37" s="63"/>
      <c r="F37" s="63"/>
      <c r="G37" s="63"/>
      <c r="H37" s="63"/>
      <c r="I37" s="63"/>
      <c r="J37" s="63"/>
      <c r="L37" s="62" t="str">
        <f t="shared" si="0"/>
        <v>10=BB_CursorUser,9.8,CsrUser,CsrUser</v>
      </c>
      <c r="X37" s="241" t="s">
        <v>638</v>
      </c>
      <c r="Y37" s="241"/>
      <c r="Z37" s="241"/>
      <c r="AA37" s="241"/>
      <c r="AB37" s="241"/>
      <c r="AC37" s="238">
        <f t="shared" si="1"/>
        <v>10</v>
      </c>
      <c r="AD37" s="238"/>
      <c r="AE37" s="238"/>
      <c r="AF37" s="239" t="s">
        <v>615</v>
      </c>
      <c r="AG37" s="239"/>
      <c r="AH37" s="233">
        <v>0.6</v>
      </c>
      <c r="AI37" s="233"/>
    </row>
    <row r="38" spans="1:35" x14ac:dyDescent="0.2">
      <c r="A38" s="63"/>
      <c r="B38" s="63" t="s">
        <v>86</v>
      </c>
      <c r="C38" s="63"/>
      <c r="D38" s="63"/>
      <c r="E38" s="63"/>
      <c r="F38" s="63"/>
      <c r="G38" s="63"/>
      <c r="H38" s="63"/>
      <c r="I38" s="63"/>
      <c r="J38" s="63"/>
      <c r="L38" s="62" t="str">
        <f t="shared" si="0"/>
        <v>11=BB_CursorHide,10.8,CsrHide,CsrHide</v>
      </c>
      <c r="X38" s="241" t="s">
        <v>639</v>
      </c>
      <c r="Y38" s="241"/>
      <c r="Z38" s="241"/>
      <c r="AA38" s="241"/>
      <c r="AB38" s="241"/>
      <c r="AC38" s="238">
        <f t="shared" si="1"/>
        <v>11</v>
      </c>
      <c r="AD38" s="238"/>
      <c r="AE38" s="238"/>
      <c r="AF38" s="239" t="s">
        <v>616</v>
      </c>
      <c r="AG38" s="239"/>
      <c r="AH38" s="233">
        <v>0.6</v>
      </c>
      <c r="AI38" s="233"/>
    </row>
    <row r="39" spans="1:35" x14ac:dyDescent="0.2">
      <c r="A39" s="63"/>
      <c r="B39" s="63" t="s">
        <v>87</v>
      </c>
      <c r="C39" s="63"/>
      <c r="D39" s="63"/>
      <c r="E39" s="63"/>
      <c r="F39" s="63"/>
      <c r="G39" s="63"/>
      <c r="H39" s="63"/>
      <c r="I39" s="63"/>
      <c r="J39" s="63"/>
      <c r="L39" s="62" t="str">
        <f t="shared" si="0"/>
        <v>12=BB_Configure,12,Config,Config</v>
      </c>
      <c r="X39" s="241" t="s">
        <v>643</v>
      </c>
      <c r="Y39" s="241"/>
      <c r="Z39" s="241"/>
      <c r="AA39" s="241"/>
      <c r="AB39" s="241"/>
      <c r="AC39" s="238">
        <f t="shared" si="1"/>
        <v>12</v>
      </c>
      <c r="AD39" s="238"/>
      <c r="AE39" s="238"/>
      <c r="AF39" s="239" t="s">
        <v>661</v>
      </c>
      <c r="AG39" s="239"/>
      <c r="AH39" s="233">
        <v>0.8</v>
      </c>
      <c r="AI39" s="233"/>
    </row>
    <row r="40" spans="1:35" x14ac:dyDescent="0.2">
      <c r="A40" s="63"/>
      <c r="B40" s="63" t="s">
        <v>88</v>
      </c>
      <c r="C40" s="63"/>
      <c r="D40" s="63"/>
      <c r="E40" s="63"/>
      <c r="F40" s="63"/>
      <c r="G40" s="63"/>
      <c r="H40" s="63"/>
      <c r="I40" s="63"/>
      <c r="J40" s="63"/>
      <c r="L40" s="62" t="str">
        <f t="shared" si="0"/>
        <v>13=BB_ChanAdvance,13,Chan +,Chan +</v>
      </c>
      <c r="X40" s="241" t="s">
        <v>634</v>
      </c>
      <c r="Y40" s="241"/>
      <c r="Z40" s="241"/>
      <c r="AA40" s="241"/>
      <c r="AB40" s="241"/>
      <c r="AC40" s="238">
        <f t="shared" si="1"/>
        <v>13</v>
      </c>
      <c r="AD40" s="238"/>
      <c r="AE40" s="238"/>
      <c r="AF40" s="239" t="s">
        <v>663</v>
      </c>
      <c r="AG40" s="239"/>
      <c r="AH40" s="233">
        <v>0.8</v>
      </c>
      <c r="AI40" s="233"/>
    </row>
    <row r="41" spans="1:35" x14ac:dyDescent="0.2">
      <c r="A41" s="63"/>
      <c r="B41" s="63" t="s">
        <v>89</v>
      </c>
      <c r="C41" s="63"/>
      <c r="D41" s="63"/>
      <c r="E41" s="63"/>
      <c r="F41" s="63"/>
      <c r="G41" s="63"/>
      <c r="H41" s="63"/>
      <c r="I41" s="63"/>
      <c r="J41" s="63"/>
      <c r="L41" s="62" t="str">
        <f t="shared" si="0"/>
        <v>14=BB_ChanDecrement,14,Chan -,Chan -</v>
      </c>
      <c r="X41" s="241" t="s">
        <v>635</v>
      </c>
      <c r="Y41" s="241"/>
      <c r="Z41" s="241"/>
      <c r="AA41" s="241"/>
      <c r="AB41" s="241"/>
      <c r="AC41" s="238">
        <f t="shared" si="1"/>
        <v>14</v>
      </c>
      <c r="AD41" s="238"/>
      <c r="AE41" s="238"/>
      <c r="AF41" s="239" t="s">
        <v>662</v>
      </c>
      <c r="AG41" s="239"/>
      <c r="AH41" s="233">
        <v>0.8</v>
      </c>
      <c r="AI41" s="233"/>
    </row>
    <row r="42" spans="1:35" x14ac:dyDescent="0.2">
      <c r="A42" s="63"/>
      <c r="B42" s="63" t="s">
        <v>90</v>
      </c>
      <c r="C42" s="63"/>
      <c r="D42" s="63"/>
      <c r="E42" s="63"/>
      <c r="F42" s="63"/>
      <c r="G42" s="63"/>
      <c r="H42" s="63"/>
      <c r="I42" s="63"/>
      <c r="J42" s="63"/>
      <c r="L42" s="62" t="str">
        <f t="shared" si="0"/>
        <v>15=BB_PageUp,15.2,Pg Up,Pg Up</v>
      </c>
      <c r="X42" s="241" t="s">
        <v>623</v>
      </c>
      <c r="Y42" s="241"/>
      <c r="Z42" s="241"/>
      <c r="AA42" s="241"/>
      <c r="AB42" s="241"/>
      <c r="AC42" s="238">
        <f t="shared" si="1"/>
        <v>15</v>
      </c>
      <c r="AD42" s="238"/>
      <c r="AE42" s="238"/>
      <c r="AF42" s="239" t="s">
        <v>664</v>
      </c>
      <c r="AG42" s="239"/>
      <c r="AH42" s="233">
        <v>1</v>
      </c>
      <c r="AI42" s="233"/>
    </row>
    <row r="43" spans="1:35" x14ac:dyDescent="0.2">
      <c r="A43" s="63"/>
      <c r="B43" s="63" t="s">
        <v>91</v>
      </c>
      <c r="C43" s="63"/>
      <c r="D43" s="63"/>
      <c r="E43" s="63"/>
      <c r="F43" s="63"/>
      <c r="G43" s="63"/>
      <c r="H43" s="63"/>
      <c r="I43" s="63"/>
      <c r="J43" s="63"/>
      <c r="L43" s="62" t="str">
        <f t="shared" si="0"/>
        <v>16=BB_PageDn,16.2,Pg Dn,Pg Dn</v>
      </c>
      <c r="X43" s="241" t="s">
        <v>624</v>
      </c>
      <c r="Y43" s="241"/>
      <c r="Z43" s="241"/>
      <c r="AA43" s="241"/>
      <c r="AB43" s="241"/>
      <c r="AC43" s="238">
        <f t="shared" si="1"/>
        <v>16</v>
      </c>
      <c r="AD43" s="238"/>
      <c r="AE43" s="238"/>
      <c r="AF43" s="239" t="s">
        <v>665</v>
      </c>
      <c r="AG43" s="239"/>
      <c r="AH43" s="233">
        <v>1</v>
      </c>
      <c r="AI43" s="233"/>
    </row>
    <row r="44" spans="1:35" x14ac:dyDescent="0.2">
      <c r="A44" s="63"/>
      <c r="B44" s="63"/>
      <c r="C44" s="63"/>
      <c r="D44" s="63"/>
      <c r="E44" s="63"/>
      <c r="F44" s="63"/>
      <c r="G44" s="63"/>
      <c r="H44" s="63"/>
      <c r="I44" s="63"/>
      <c r="J44" s="63"/>
    </row>
    <row r="46" spans="1:35" hidden="1" x14ac:dyDescent="0.2">
      <c r="M46" s="61"/>
      <c r="N46" s="60" t="s">
        <v>622</v>
      </c>
      <c r="O46" s="61"/>
      <c r="P46" s="60" t="s">
        <v>654</v>
      </c>
    </row>
    <row r="47" spans="1:35" hidden="1" x14ac:dyDescent="0.2">
      <c r="M47" s="61"/>
      <c r="N47" s="60" t="s">
        <v>623</v>
      </c>
      <c r="O47" s="61"/>
      <c r="P47" s="61" t="s">
        <v>655</v>
      </c>
    </row>
    <row r="48" spans="1:35" hidden="1" x14ac:dyDescent="0.2">
      <c r="M48" s="61"/>
      <c r="N48" s="60" t="s">
        <v>624</v>
      </c>
      <c r="O48" s="61"/>
      <c r="P48" s="61" t="s">
        <v>655</v>
      </c>
    </row>
    <row r="49" spans="13:16" hidden="1" x14ac:dyDescent="0.2">
      <c r="M49" s="61"/>
      <c r="N49" s="60" t="s">
        <v>625</v>
      </c>
      <c r="O49" s="61"/>
      <c r="P49" s="61" t="s">
        <v>655</v>
      </c>
    </row>
    <row r="50" spans="13:16" hidden="1" x14ac:dyDescent="0.2">
      <c r="M50" s="61"/>
      <c r="N50" s="60" t="s">
        <v>626</v>
      </c>
      <c r="O50" s="61"/>
      <c r="P50" s="61" t="s">
        <v>655</v>
      </c>
    </row>
    <row r="51" spans="13:16" hidden="1" x14ac:dyDescent="0.2">
      <c r="M51" s="61"/>
      <c r="N51" s="60" t="s">
        <v>627</v>
      </c>
      <c r="O51" s="61"/>
      <c r="P51" s="61" t="s">
        <v>655</v>
      </c>
    </row>
    <row r="52" spans="13:16" hidden="1" x14ac:dyDescent="0.2">
      <c r="M52" s="61"/>
      <c r="N52" s="60" t="s">
        <v>628</v>
      </c>
      <c r="O52" s="61"/>
      <c r="P52" s="61" t="s">
        <v>655</v>
      </c>
    </row>
    <row r="53" spans="13:16" hidden="1" x14ac:dyDescent="0.2">
      <c r="M53" s="61"/>
      <c r="N53" s="60" t="s">
        <v>629</v>
      </c>
      <c r="O53" s="61"/>
      <c r="P53" s="61" t="s">
        <v>655</v>
      </c>
    </row>
    <row r="54" spans="13:16" hidden="1" x14ac:dyDescent="0.2">
      <c r="M54" s="61"/>
      <c r="N54" s="60" t="s">
        <v>630</v>
      </c>
      <c r="O54" s="61"/>
      <c r="P54" s="61" t="s">
        <v>655</v>
      </c>
    </row>
    <row r="55" spans="13:16" hidden="1" x14ac:dyDescent="0.2">
      <c r="M55" s="61"/>
      <c r="N55" s="60" t="s">
        <v>631</v>
      </c>
      <c r="O55" s="61"/>
      <c r="P55" s="61" t="s">
        <v>655</v>
      </c>
    </row>
    <row r="56" spans="13:16" hidden="1" x14ac:dyDescent="0.2">
      <c r="M56" s="61"/>
      <c r="N56" s="61" t="s">
        <v>632</v>
      </c>
      <c r="O56" s="61"/>
      <c r="P56" s="61" t="s">
        <v>656</v>
      </c>
    </row>
    <row r="57" spans="13:16" hidden="1" x14ac:dyDescent="0.2">
      <c r="M57" s="61"/>
      <c r="N57" s="61" t="s">
        <v>633</v>
      </c>
      <c r="O57" s="61"/>
      <c r="P57" s="61" t="s">
        <v>656</v>
      </c>
    </row>
    <row r="58" spans="13:16" hidden="1" x14ac:dyDescent="0.2">
      <c r="M58" s="61"/>
      <c r="N58" s="61" t="s">
        <v>634</v>
      </c>
      <c r="O58" s="61"/>
      <c r="P58" s="61" t="s">
        <v>656</v>
      </c>
    </row>
    <row r="59" spans="13:16" hidden="1" x14ac:dyDescent="0.2">
      <c r="M59" s="61"/>
      <c r="N59" s="61" t="s">
        <v>635</v>
      </c>
      <c r="O59" s="61"/>
      <c r="P59" s="61" t="s">
        <v>656</v>
      </c>
    </row>
    <row r="60" spans="13:16" hidden="1" x14ac:dyDescent="0.2">
      <c r="M60" s="61"/>
      <c r="N60" s="61" t="s">
        <v>636</v>
      </c>
      <c r="O60" s="61"/>
      <c r="P60" s="61" t="s">
        <v>656</v>
      </c>
    </row>
    <row r="61" spans="13:16" hidden="1" x14ac:dyDescent="0.2">
      <c r="M61" s="61"/>
      <c r="N61" s="61" t="s">
        <v>637</v>
      </c>
      <c r="O61" s="61"/>
      <c r="P61" s="61" t="s">
        <v>656</v>
      </c>
    </row>
    <row r="62" spans="13:16" hidden="1" x14ac:dyDescent="0.2">
      <c r="M62" s="61"/>
      <c r="N62" s="61" t="s">
        <v>638</v>
      </c>
      <c r="O62" s="61"/>
      <c r="P62" s="61" t="s">
        <v>656</v>
      </c>
    </row>
    <row r="63" spans="13:16" hidden="1" x14ac:dyDescent="0.2">
      <c r="M63" s="61"/>
      <c r="N63" s="61" t="s">
        <v>639</v>
      </c>
      <c r="O63" s="61"/>
      <c r="P63" s="61" t="s">
        <v>656</v>
      </c>
    </row>
    <row r="64" spans="13:16" hidden="1" x14ac:dyDescent="0.2">
      <c r="M64" s="61"/>
      <c r="N64" s="61" t="s">
        <v>640</v>
      </c>
      <c r="O64" s="61"/>
      <c r="P64" s="61" t="s">
        <v>656</v>
      </c>
    </row>
    <row r="65" spans="13:16" hidden="1" x14ac:dyDescent="0.2">
      <c r="M65" s="61"/>
      <c r="N65" s="61" t="s">
        <v>641</v>
      </c>
      <c r="O65" s="61"/>
      <c r="P65" s="61" t="s">
        <v>656</v>
      </c>
    </row>
    <row r="66" spans="13:16" hidden="1" x14ac:dyDescent="0.2">
      <c r="M66" s="61"/>
      <c r="N66" s="61" t="s">
        <v>642</v>
      </c>
      <c r="O66" s="61"/>
      <c r="P66" s="61" t="s">
        <v>656</v>
      </c>
    </row>
    <row r="67" spans="13:16" hidden="1" x14ac:dyDescent="0.2">
      <c r="M67" s="61"/>
      <c r="N67" s="61" t="s">
        <v>643</v>
      </c>
      <c r="O67" s="61"/>
      <c r="P67" s="61" t="s">
        <v>656</v>
      </c>
    </row>
    <row r="68" spans="13:16" hidden="1" x14ac:dyDescent="0.2">
      <c r="M68" s="61"/>
      <c r="N68" s="61" t="s">
        <v>644</v>
      </c>
      <c r="O68" s="61"/>
      <c r="P68" s="61" t="s">
        <v>656</v>
      </c>
    </row>
    <row r="69" spans="13:16" hidden="1" x14ac:dyDescent="0.2">
      <c r="M69" s="61"/>
      <c r="N69" s="61" t="s">
        <v>645</v>
      </c>
      <c r="O69" s="61"/>
      <c r="P69" s="61" t="s">
        <v>656</v>
      </c>
    </row>
    <row r="70" spans="13:16" hidden="1" x14ac:dyDescent="0.2">
      <c r="M70" s="61"/>
      <c r="N70" s="61" t="s">
        <v>646</v>
      </c>
      <c r="O70" s="61"/>
      <c r="P70" s="61" t="s">
        <v>656</v>
      </c>
    </row>
    <row r="71" spans="13:16" hidden="1" x14ac:dyDescent="0.2">
      <c r="M71" s="61"/>
      <c r="N71" s="61" t="s">
        <v>647</v>
      </c>
      <c r="O71" s="61"/>
      <c r="P71" s="61" t="s">
        <v>656</v>
      </c>
    </row>
  </sheetData>
  <autoFilter ref="N46:P71"/>
  <mergeCells count="69">
    <mergeCell ref="AH39:AI39"/>
    <mergeCell ref="AH40:AI40"/>
    <mergeCell ref="AH41:AI41"/>
    <mergeCell ref="AH42:AI42"/>
    <mergeCell ref="AH35:AI35"/>
    <mergeCell ref="AH36:AI36"/>
    <mergeCell ref="AH37:AI37"/>
    <mergeCell ref="AH38:AI38"/>
    <mergeCell ref="AC40:AE40"/>
    <mergeCell ref="AC41:AE41"/>
    <mergeCell ref="AF41:AG41"/>
    <mergeCell ref="AF42:AG42"/>
    <mergeCell ref="AH43:AI43"/>
    <mergeCell ref="AF36:AG36"/>
    <mergeCell ref="AF37:AG37"/>
    <mergeCell ref="AF38:AG38"/>
    <mergeCell ref="X43:AB43"/>
    <mergeCell ref="X40:AB40"/>
    <mergeCell ref="X41:AB41"/>
    <mergeCell ref="X42:AB42"/>
    <mergeCell ref="AF43:AG43"/>
    <mergeCell ref="AF39:AG39"/>
    <mergeCell ref="AF40:AG40"/>
    <mergeCell ref="AC42:AE42"/>
    <mergeCell ref="AC43:AE43"/>
    <mergeCell ref="AC36:AE36"/>
    <mergeCell ref="AC37:AE37"/>
    <mergeCell ref="AC38:AE38"/>
    <mergeCell ref="AC39:AE39"/>
    <mergeCell ref="AF35:AG35"/>
    <mergeCell ref="AC34:AE34"/>
    <mergeCell ref="AC35:AE35"/>
    <mergeCell ref="AF31:AG31"/>
    <mergeCell ref="AF32:AG32"/>
    <mergeCell ref="AF33:AG33"/>
    <mergeCell ref="AF34:AG34"/>
    <mergeCell ref="AC31:AE31"/>
    <mergeCell ref="AC32:AE32"/>
    <mergeCell ref="AC33:AE33"/>
    <mergeCell ref="X39:AB39"/>
    <mergeCell ref="X35:AB35"/>
    <mergeCell ref="X36:AB36"/>
    <mergeCell ref="X37:AB37"/>
    <mergeCell ref="X38:AB38"/>
    <mergeCell ref="AH32:AI32"/>
    <mergeCell ref="AF30:AG30"/>
    <mergeCell ref="AH33:AI33"/>
    <mergeCell ref="AH34:AI34"/>
    <mergeCell ref="A1:AH1"/>
    <mergeCell ref="X28:AB28"/>
    <mergeCell ref="X29:AB29"/>
    <mergeCell ref="X30:AB30"/>
    <mergeCell ref="AH27:AI27"/>
    <mergeCell ref="AH28:AI28"/>
    <mergeCell ref="AF28:AG28"/>
    <mergeCell ref="AF29:AG29"/>
    <mergeCell ref="X31:AB31"/>
    <mergeCell ref="X32:AB32"/>
    <mergeCell ref="X33:AB33"/>
    <mergeCell ref="X34:AB34"/>
    <mergeCell ref="AH29:AI29"/>
    <mergeCell ref="AH30:AI30"/>
    <mergeCell ref="X27:AB27"/>
    <mergeCell ref="AF27:AG27"/>
    <mergeCell ref="AH31:AI31"/>
    <mergeCell ref="AC27:AE27"/>
    <mergeCell ref="AC28:AE28"/>
    <mergeCell ref="AC29:AE29"/>
    <mergeCell ref="AC30:AE30"/>
  </mergeCells>
  <phoneticPr fontId="0" type="noConversion"/>
  <conditionalFormatting sqref="B24:B43 L24:L43">
    <cfRule type="expression" dxfId="6" priority="1" stopIfTrue="1">
      <formula>LEFT(B24,1)="["</formula>
    </cfRule>
  </conditionalFormatting>
  <dataValidations count="1">
    <dataValidation type="list" allowBlank="1" showInputMessage="1" showErrorMessage="1" sqref="X28:X43">
      <formula1>$N$47:$N$71</formula1>
    </dataValidation>
  </dataValidations>
  <pageMargins left="0.75" right="0.75" top="1" bottom="1" header="0.5" footer="0.5"/>
  <pageSetup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3:H29"/>
  <sheetViews>
    <sheetView showGridLines="0" workbookViewId="0">
      <selection activeCell="F6" sqref="F6"/>
    </sheetView>
  </sheetViews>
  <sheetFormatPr defaultRowHeight="12.75" x14ac:dyDescent="0.2"/>
  <cols>
    <col min="3" max="3" width="11.85546875" customWidth="1"/>
    <col min="4" max="4" width="16.42578125" customWidth="1"/>
    <col min="5" max="5" width="13.5703125" customWidth="1"/>
    <col min="6" max="6" width="12.42578125" customWidth="1"/>
    <col min="7" max="7" width="13.7109375" style="66" customWidth="1"/>
    <col min="8" max="8" width="11" customWidth="1"/>
  </cols>
  <sheetData>
    <row r="3" spans="2:8" x14ac:dyDescent="0.2">
      <c r="B3" t="s">
        <v>675</v>
      </c>
      <c r="D3" t="s">
        <v>673</v>
      </c>
      <c r="E3" s="3" t="s">
        <v>674</v>
      </c>
      <c r="F3" t="s">
        <v>676</v>
      </c>
      <c r="G3" s="67" t="s">
        <v>677</v>
      </c>
      <c r="H3" t="s">
        <v>678</v>
      </c>
    </row>
    <row r="4" spans="2:8" x14ac:dyDescent="0.2">
      <c r="B4" s="3">
        <v>1</v>
      </c>
      <c r="C4" s="68" t="s">
        <v>679</v>
      </c>
      <c r="D4" s="3">
        <v>5206603</v>
      </c>
      <c r="E4" s="3">
        <v>15724527</v>
      </c>
      <c r="F4" t="s">
        <v>686</v>
      </c>
      <c r="G4" s="67" t="s">
        <v>687</v>
      </c>
      <c r="H4" t="s">
        <v>687</v>
      </c>
    </row>
    <row r="5" spans="2:8" x14ac:dyDescent="0.2">
      <c r="B5" s="3">
        <v>2</v>
      </c>
      <c r="C5" s="68" t="s">
        <v>680</v>
      </c>
      <c r="D5" s="3">
        <v>1221119</v>
      </c>
      <c r="E5" s="3">
        <v>4145216</v>
      </c>
      <c r="F5" t="s">
        <v>684</v>
      </c>
      <c r="G5" s="67" t="s">
        <v>685</v>
      </c>
      <c r="H5" t="s">
        <v>685</v>
      </c>
    </row>
    <row r="6" spans="2:8" x14ac:dyDescent="0.2">
      <c r="B6" s="3">
        <v>3</v>
      </c>
      <c r="C6" s="68" t="s">
        <v>706</v>
      </c>
      <c r="D6" s="3">
        <v>2631720</v>
      </c>
      <c r="E6" s="3">
        <v>383838</v>
      </c>
      <c r="G6" s="67"/>
    </row>
    <row r="7" spans="2:8" x14ac:dyDescent="0.2">
      <c r="B7" s="3">
        <v>4</v>
      </c>
      <c r="C7" s="68" t="s">
        <v>681</v>
      </c>
      <c r="D7" s="3">
        <v>16777215</v>
      </c>
      <c r="E7" s="3">
        <v>10790052</v>
      </c>
      <c r="F7" t="s">
        <v>682</v>
      </c>
      <c r="G7" s="67" t="s">
        <v>683</v>
      </c>
      <c r="H7" t="s">
        <v>683</v>
      </c>
    </row>
    <row r="8" spans="2:8" x14ac:dyDescent="0.2">
      <c r="B8" s="3">
        <v>5</v>
      </c>
      <c r="C8" s="68" t="s">
        <v>692</v>
      </c>
      <c r="D8" s="3">
        <v>16957</v>
      </c>
      <c r="E8" s="3">
        <v>11776947</v>
      </c>
      <c r="F8" t="s">
        <v>698</v>
      </c>
      <c r="G8" s="67" t="s">
        <v>699</v>
      </c>
      <c r="H8" t="s">
        <v>699</v>
      </c>
    </row>
    <row r="9" spans="2:8" x14ac:dyDescent="0.2">
      <c r="B9" s="3">
        <v>6</v>
      </c>
      <c r="C9" s="68" t="s">
        <v>721</v>
      </c>
      <c r="D9" s="3">
        <f>HEX2DEC(DEC2HEX(LEFT(  F9,3)) &amp;DEC2HEX(MID( F9,5,3)) &amp;DEC2HEX(RIGHT( F9,3))   )</f>
        <v>13158600</v>
      </c>
      <c r="E9" s="3">
        <f>HEX2DEC(DEC2HEX(LEFT(  G9,3)) &amp;DEC2HEX(MID( G9,5,3)) &amp;DEC2HEX(RIGHT( G9,3))  )</f>
        <v>6579300</v>
      </c>
      <c r="F9" t="s">
        <v>722</v>
      </c>
      <c r="G9" s="67" t="s">
        <v>723</v>
      </c>
      <c r="H9" t="s">
        <v>723</v>
      </c>
    </row>
    <row r="10" spans="2:8" x14ac:dyDescent="0.2">
      <c r="G10" s="67"/>
    </row>
    <row r="11" spans="2:8" x14ac:dyDescent="0.2">
      <c r="G11" s="67"/>
    </row>
    <row r="12" spans="2:8" x14ac:dyDescent="0.2">
      <c r="G12" s="67"/>
    </row>
    <row r="13" spans="2:8" x14ac:dyDescent="0.2">
      <c r="G13" s="67"/>
    </row>
    <row r="14" spans="2:8" x14ac:dyDescent="0.2">
      <c r="G14" s="67"/>
    </row>
    <row r="15" spans="2:8" x14ac:dyDescent="0.2">
      <c r="C15" s="10" t="s">
        <v>692</v>
      </c>
    </row>
    <row r="16" spans="2:8" x14ac:dyDescent="0.2">
      <c r="C16" t="s">
        <v>24</v>
      </c>
    </row>
    <row r="17" spans="3:3" x14ac:dyDescent="0.2">
      <c r="C17" t="s">
        <v>25</v>
      </c>
    </row>
    <row r="18" spans="3:3" x14ac:dyDescent="0.2">
      <c r="C18" t="s">
        <v>26</v>
      </c>
    </row>
    <row r="19" spans="3:3" x14ac:dyDescent="0.2">
      <c r="C19" t="s">
        <v>688</v>
      </c>
    </row>
    <row r="20" spans="3:3" x14ac:dyDescent="0.2">
      <c r="C20" t="s">
        <v>689</v>
      </c>
    </row>
    <row r="21" spans="3:3" x14ac:dyDescent="0.2">
      <c r="C21" t="s">
        <v>690</v>
      </c>
    </row>
    <row r="22" spans="3:3" x14ac:dyDescent="0.2">
      <c r="C22" t="s">
        <v>691</v>
      </c>
    </row>
    <row r="24" spans="3:3" x14ac:dyDescent="0.2">
      <c r="C24" t="s">
        <v>693</v>
      </c>
    </row>
    <row r="25" spans="3:3" x14ac:dyDescent="0.2">
      <c r="C25" t="s">
        <v>694</v>
      </c>
    </row>
    <row r="27" spans="3:3" x14ac:dyDescent="0.2">
      <c r="C27" t="s">
        <v>695</v>
      </c>
    </row>
    <row r="28" spans="3:3" x14ac:dyDescent="0.2">
      <c r="C28" t="s">
        <v>696</v>
      </c>
    </row>
    <row r="29" spans="3:3" x14ac:dyDescent="0.2">
      <c r="C29" t="s">
        <v>697</v>
      </c>
    </row>
  </sheetData>
  <phoneticPr fontId="0"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0000"/>
  </sheetPr>
  <dimension ref="A1:T399"/>
  <sheetViews>
    <sheetView showGridLines="0" topLeftCell="A52" workbookViewId="0">
      <selection activeCell="I29" sqref="I29"/>
    </sheetView>
  </sheetViews>
  <sheetFormatPr defaultRowHeight="12.75" x14ac:dyDescent="0.2"/>
  <cols>
    <col min="1" max="1" width="11.85546875" customWidth="1"/>
    <col min="3" max="3" width="12" customWidth="1"/>
    <col min="12" max="12" width="15.5703125" customWidth="1"/>
    <col min="13" max="13" width="3.140625" customWidth="1"/>
    <col min="14" max="14" width="12.140625" customWidth="1"/>
    <col min="15" max="15" width="4.28515625" style="31" customWidth="1"/>
    <col min="16" max="17" width="4.140625" style="31" customWidth="1"/>
    <col min="18" max="18" width="4.140625" customWidth="1"/>
  </cols>
  <sheetData>
    <row r="1" spans="1:20" x14ac:dyDescent="0.2">
      <c r="H1" s="246"/>
      <c r="I1" s="247"/>
      <c r="J1" s="247"/>
      <c r="K1" s="247"/>
      <c r="L1" s="247"/>
      <c r="M1" s="247"/>
      <c r="N1" s="247"/>
      <c r="O1" s="247"/>
      <c r="P1" s="247"/>
      <c r="Q1" s="247"/>
      <c r="R1" s="247"/>
      <c r="S1" s="247"/>
      <c r="T1" s="248"/>
    </row>
    <row r="2" spans="1:20" ht="15" x14ac:dyDescent="0.2">
      <c r="B2" s="10" t="s">
        <v>256</v>
      </c>
      <c r="H2" s="249" t="s">
        <v>724</v>
      </c>
      <c r="I2" s="250"/>
      <c r="J2" s="250"/>
      <c r="K2" s="250"/>
      <c r="L2" s="250"/>
      <c r="M2" s="250"/>
      <c r="N2" s="250"/>
      <c r="O2" s="250"/>
      <c r="P2" s="250"/>
      <c r="Q2" s="250"/>
      <c r="R2" s="250"/>
      <c r="S2" s="250"/>
      <c r="T2" s="251"/>
    </row>
    <row r="3" spans="1:20" x14ac:dyDescent="0.2">
      <c r="B3" s="12" t="s">
        <v>249</v>
      </c>
      <c r="H3" s="252"/>
      <c r="I3" s="253"/>
      <c r="J3" s="253"/>
      <c r="K3" s="253"/>
      <c r="L3" s="253"/>
      <c r="M3" s="253"/>
      <c r="N3" s="253"/>
      <c r="O3" s="253"/>
      <c r="P3" s="253"/>
      <c r="Q3" s="253"/>
      <c r="R3" s="253"/>
      <c r="S3" s="253"/>
      <c r="T3" s="254"/>
    </row>
    <row r="4" spans="1:20" ht="15" x14ac:dyDescent="0.2">
      <c r="B4" s="13" t="s">
        <v>250</v>
      </c>
      <c r="H4" s="255" t="s">
        <v>725</v>
      </c>
      <c r="I4" s="256"/>
      <c r="J4" s="256"/>
      <c r="K4" s="256"/>
      <c r="L4" s="256"/>
      <c r="M4" s="256"/>
      <c r="N4" s="256"/>
      <c r="O4" s="256"/>
      <c r="P4" s="256"/>
      <c r="Q4" s="256"/>
      <c r="R4" s="256"/>
      <c r="S4" s="256"/>
      <c r="T4" s="257"/>
    </row>
    <row r="5" spans="1:20" ht="15.75" x14ac:dyDescent="0.25">
      <c r="B5" s="16" t="s">
        <v>255</v>
      </c>
      <c r="H5" s="258" t="s">
        <v>726</v>
      </c>
      <c r="I5" s="259"/>
      <c r="J5" s="259"/>
      <c r="K5" s="259"/>
      <c r="L5" s="259"/>
      <c r="M5" s="259"/>
      <c r="N5" s="259"/>
      <c r="O5" s="259"/>
      <c r="P5" s="259"/>
      <c r="Q5" s="259"/>
      <c r="R5" s="259"/>
      <c r="S5" s="259"/>
      <c r="T5" s="260"/>
    </row>
    <row r="6" spans="1:20" x14ac:dyDescent="0.2">
      <c r="B6" s="14" t="s">
        <v>251</v>
      </c>
      <c r="H6" s="243"/>
      <c r="I6" s="244"/>
      <c r="J6" s="244"/>
      <c r="K6" s="244"/>
      <c r="L6" s="244"/>
      <c r="M6" s="244"/>
      <c r="N6" s="244"/>
      <c r="O6" s="244"/>
      <c r="P6" s="244"/>
      <c r="Q6" s="244"/>
      <c r="R6" s="244"/>
      <c r="S6" s="244"/>
      <c r="T6" s="245"/>
    </row>
    <row r="7" spans="1:20" ht="15" x14ac:dyDescent="0.2">
      <c r="B7" s="15" t="s">
        <v>252</v>
      </c>
      <c r="H7" s="255" t="s">
        <v>727</v>
      </c>
      <c r="I7" s="256"/>
      <c r="J7" s="256"/>
      <c r="K7" s="256"/>
      <c r="L7" s="256"/>
      <c r="M7" s="256"/>
      <c r="N7" s="256"/>
      <c r="O7" s="256"/>
      <c r="P7" s="256"/>
      <c r="Q7" s="256"/>
      <c r="R7" s="256"/>
      <c r="S7" s="256"/>
      <c r="T7" s="257"/>
    </row>
    <row r="8" spans="1:20" x14ac:dyDescent="0.2">
      <c r="B8" t="s">
        <v>253</v>
      </c>
      <c r="H8" s="243"/>
      <c r="I8" s="244"/>
      <c r="J8" s="244"/>
      <c r="K8" s="244"/>
      <c r="L8" s="244"/>
      <c r="M8" s="244"/>
      <c r="N8" s="244"/>
      <c r="O8" s="244"/>
      <c r="P8" s="244"/>
      <c r="Q8" s="244"/>
      <c r="R8" s="244"/>
      <c r="S8" s="244"/>
      <c r="T8" s="245"/>
    </row>
    <row r="9" spans="1:20" ht="33.75" customHeight="1" x14ac:dyDescent="0.2">
      <c r="B9" s="115" t="s">
        <v>254</v>
      </c>
      <c r="H9" s="255" t="s">
        <v>728</v>
      </c>
      <c r="I9" s="256"/>
      <c r="J9" s="256"/>
      <c r="K9" s="256"/>
      <c r="L9" s="256"/>
      <c r="M9" s="256"/>
      <c r="N9" s="256"/>
      <c r="O9" s="256"/>
      <c r="P9" s="256"/>
      <c r="Q9" s="256"/>
      <c r="R9" s="256"/>
      <c r="S9" s="256"/>
      <c r="T9" s="257"/>
    </row>
    <row r="10" spans="1:20" x14ac:dyDescent="0.2">
      <c r="H10" s="243"/>
      <c r="I10" s="244"/>
      <c r="J10" s="244"/>
      <c r="K10" s="244"/>
      <c r="L10" s="244"/>
      <c r="M10" s="244"/>
      <c r="N10" s="244"/>
      <c r="O10" s="244"/>
      <c r="P10" s="244"/>
      <c r="Q10" s="244"/>
      <c r="R10" s="244"/>
      <c r="S10" s="244"/>
      <c r="T10" s="245"/>
    </row>
    <row r="11" spans="1:20" ht="15" x14ac:dyDescent="0.2">
      <c r="H11" s="255" t="s">
        <v>729</v>
      </c>
      <c r="I11" s="256"/>
      <c r="J11" s="256"/>
      <c r="K11" s="256"/>
      <c r="L11" s="256"/>
      <c r="M11" s="256"/>
      <c r="N11" s="256"/>
      <c r="O11" s="256"/>
      <c r="P11" s="256"/>
      <c r="Q11" s="256"/>
      <c r="R11" s="256"/>
      <c r="S11" s="256"/>
      <c r="T11" s="257"/>
    </row>
    <row r="12" spans="1:20" ht="15.75" x14ac:dyDescent="0.25">
      <c r="A12" s="24" t="s">
        <v>297</v>
      </c>
      <c r="H12" s="243"/>
      <c r="I12" s="244"/>
      <c r="J12" s="244"/>
      <c r="K12" s="244"/>
      <c r="L12" s="244"/>
      <c r="M12" s="244"/>
      <c r="N12" s="244"/>
      <c r="O12" s="244"/>
      <c r="P12" s="244"/>
      <c r="Q12" s="244"/>
      <c r="R12" s="244"/>
      <c r="S12" s="244"/>
      <c r="T12" s="245"/>
    </row>
    <row r="13" spans="1:20" ht="15.75" x14ac:dyDescent="0.25">
      <c r="A13" s="24" t="s">
        <v>298</v>
      </c>
      <c r="H13" s="255" t="s">
        <v>730</v>
      </c>
      <c r="I13" s="256"/>
      <c r="J13" s="256"/>
      <c r="K13" s="256"/>
      <c r="L13" s="256"/>
      <c r="M13" s="256"/>
      <c r="N13" s="256"/>
      <c r="O13" s="256"/>
      <c r="P13" s="256"/>
      <c r="Q13" s="256"/>
      <c r="R13" s="256"/>
      <c r="S13" s="256"/>
      <c r="T13" s="257"/>
    </row>
    <row r="14" spans="1:20" ht="15.75" x14ac:dyDescent="0.25">
      <c r="A14" s="24"/>
      <c r="H14" s="243"/>
      <c r="I14" s="244"/>
      <c r="J14" s="244"/>
      <c r="K14" s="244"/>
      <c r="L14" s="244"/>
      <c r="M14" s="244"/>
      <c r="N14" s="244"/>
      <c r="O14" s="244"/>
      <c r="P14" s="244"/>
      <c r="Q14" s="244"/>
      <c r="R14" s="244"/>
      <c r="S14" s="244"/>
      <c r="T14" s="245"/>
    </row>
    <row r="15" spans="1:20" ht="15.75" x14ac:dyDescent="0.25">
      <c r="A15" s="24" t="s">
        <v>299</v>
      </c>
      <c r="H15" s="255" t="s">
        <v>731</v>
      </c>
      <c r="I15" s="256"/>
      <c r="J15" s="256"/>
      <c r="K15" s="256"/>
      <c r="L15" s="256"/>
      <c r="M15" s="256"/>
      <c r="N15" s="256"/>
      <c r="O15" s="256"/>
      <c r="P15" s="256"/>
      <c r="Q15" s="256"/>
      <c r="R15" s="256"/>
      <c r="S15" s="256"/>
      <c r="T15" s="257"/>
    </row>
    <row r="16" spans="1:20" ht="15.75" x14ac:dyDescent="0.25">
      <c r="A16" s="24" t="s">
        <v>300</v>
      </c>
      <c r="H16" s="252"/>
      <c r="I16" s="253"/>
      <c r="J16" s="253"/>
      <c r="K16" s="253"/>
      <c r="L16" s="253"/>
      <c r="M16" s="253"/>
      <c r="N16" s="253"/>
      <c r="O16" s="253"/>
      <c r="P16" s="253"/>
      <c r="Q16" s="253"/>
      <c r="R16" s="253"/>
      <c r="S16" s="253"/>
      <c r="T16" s="254"/>
    </row>
    <row r="17" spans="1:20" ht="15.75" x14ac:dyDescent="0.25">
      <c r="A17" s="24" t="s">
        <v>301</v>
      </c>
      <c r="H17" s="252"/>
      <c r="I17" s="253"/>
      <c r="J17" s="253"/>
      <c r="K17" s="253"/>
      <c r="L17" s="253"/>
      <c r="M17" s="253"/>
      <c r="N17" s="253"/>
      <c r="O17" s="253"/>
      <c r="P17" s="253"/>
      <c r="Q17" s="253"/>
      <c r="R17" s="253"/>
      <c r="S17" s="253"/>
      <c r="T17" s="254"/>
    </row>
    <row r="18" spans="1:20" ht="15.75" x14ac:dyDescent="0.25">
      <c r="A18" s="24"/>
      <c r="H18" s="261"/>
      <c r="I18" s="262"/>
      <c r="J18" s="262"/>
      <c r="K18" s="262"/>
      <c r="L18" s="262"/>
      <c r="M18" s="262"/>
      <c r="N18" s="262"/>
      <c r="O18" s="262"/>
      <c r="P18" s="262"/>
      <c r="Q18" s="262"/>
      <c r="R18" s="262"/>
      <c r="S18" s="262"/>
      <c r="T18" s="263"/>
    </row>
    <row r="19" spans="1:20" ht="15.75" x14ac:dyDescent="0.25">
      <c r="A19" s="24"/>
    </row>
    <row r="20" spans="1:20" ht="15.75" x14ac:dyDescent="0.25">
      <c r="A20" s="33" t="s">
        <v>302</v>
      </c>
    </row>
    <row r="21" spans="1:20" ht="15.75" x14ac:dyDescent="0.25">
      <c r="A21" s="24"/>
    </row>
    <row r="22" spans="1:20" ht="15.75" x14ac:dyDescent="0.25">
      <c r="A22" s="25" t="s">
        <v>303</v>
      </c>
    </row>
    <row r="23" spans="1:20" ht="15.75" x14ac:dyDescent="0.25">
      <c r="B23" s="24" t="s">
        <v>304</v>
      </c>
    </row>
    <row r="24" spans="1:20" ht="15.75" x14ac:dyDescent="0.25">
      <c r="A24" s="24"/>
    </row>
    <row r="25" spans="1:20" ht="15.75" x14ac:dyDescent="0.25">
      <c r="A25" s="25" t="s">
        <v>305</v>
      </c>
    </row>
    <row r="26" spans="1:20" ht="15.75" x14ac:dyDescent="0.25">
      <c r="B26" s="24" t="s">
        <v>306</v>
      </c>
    </row>
    <row r="27" spans="1:20" ht="15.75" x14ac:dyDescent="0.25">
      <c r="B27" s="24" t="s">
        <v>307</v>
      </c>
    </row>
    <row r="28" spans="1:20" ht="15.75" x14ac:dyDescent="0.25">
      <c r="B28" s="24" t="s">
        <v>308</v>
      </c>
    </row>
    <row r="29" spans="1:20" ht="15.75" x14ac:dyDescent="0.25">
      <c r="A29" s="24"/>
    </row>
    <row r="30" spans="1:20" ht="15.75" x14ac:dyDescent="0.25">
      <c r="A30" s="25" t="s">
        <v>309</v>
      </c>
    </row>
    <row r="31" spans="1:20" ht="15.75" x14ac:dyDescent="0.25">
      <c r="B31" s="24" t="s">
        <v>310</v>
      </c>
    </row>
    <row r="32" spans="1:20" ht="15.75" x14ac:dyDescent="0.25">
      <c r="B32" s="24" t="s">
        <v>311</v>
      </c>
    </row>
    <row r="33" spans="1:18" ht="15.75" x14ac:dyDescent="0.25">
      <c r="A33" s="25"/>
    </row>
    <row r="34" spans="1:18" ht="15.75" x14ac:dyDescent="0.25">
      <c r="A34" s="25" t="s">
        <v>312</v>
      </c>
      <c r="K34" s="10"/>
      <c r="L34" s="10" t="s">
        <v>598</v>
      </c>
      <c r="M34" s="10"/>
      <c r="N34" s="10" t="s">
        <v>599</v>
      </c>
      <c r="O34" s="32" t="s">
        <v>603</v>
      </c>
      <c r="P34" s="32" t="s">
        <v>600</v>
      </c>
      <c r="Q34" s="32" t="s">
        <v>601</v>
      </c>
      <c r="R34" s="32" t="s">
        <v>602</v>
      </c>
    </row>
    <row r="35" spans="1:18" ht="15.75" x14ac:dyDescent="0.25">
      <c r="A35" s="25" t="s">
        <v>313</v>
      </c>
      <c r="L35" s="30">
        <v>16777216</v>
      </c>
      <c r="N35" s="16" t="str">
        <f>"0x"&amp;DEC2HEX(L35,7)</f>
        <v>0x1000000</v>
      </c>
      <c r="P35" s="31" t="str">
        <f>MID(N35,4,2)</f>
        <v>00</v>
      </c>
      <c r="Q35" s="31" t="str">
        <f>MID(N35,6,2)</f>
        <v>00</v>
      </c>
      <c r="R35" s="31" t="str">
        <f>RIGHT(N35,2)</f>
        <v>00</v>
      </c>
    </row>
    <row r="36" spans="1:18" ht="15.75" x14ac:dyDescent="0.25">
      <c r="A36" s="25" t="s">
        <v>314</v>
      </c>
      <c r="L36" s="30">
        <v>16113331</v>
      </c>
      <c r="N36" s="16" t="str">
        <f>"0x"&amp;DEC2HEX(L36,7)</f>
        <v>0x0F5DEB3</v>
      </c>
      <c r="P36" s="31" t="str">
        <f>MID(N36,4,2)</f>
        <v>F5</v>
      </c>
      <c r="Q36" s="31" t="str">
        <f>MID(N36,6,2)</f>
        <v>DE</v>
      </c>
      <c r="R36" s="31" t="str">
        <f>RIGHT(N36,2)</f>
        <v>B3</v>
      </c>
    </row>
    <row r="37" spans="1:18" ht="15.75" x14ac:dyDescent="0.25">
      <c r="B37" s="24" t="s">
        <v>315</v>
      </c>
    </row>
    <row r="38" spans="1:18" ht="15.75" x14ac:dyDescent="0.25">
      <c r="B38" s="24" t="s">
        <v>316</v>
      </c>
    </row>
    <row r="39" spans="1:18" ht="15.75" x14ac:dyDescent="0.25">
      <c r="B39" s="24" t="s">
        <v>317</v>
      </c>
    </row>
    <row r="40" spans="1:18" ht="15.75" x14ac:dyDescent="0.25">
      <c r="A40" s="24"/>
    </row>
    <row r="41" spans="1:18" ht="15.75" x14ac:dyDescent="0.25">
      <c r="A41" s="33" t="s">
        <v>318</v>
      </c>
    </row>
    <row r="42" spans="1:18" ht="15.75" x14ac:dyDescent="0.25">
      <c r="A42" s="24"/>
    </row>
    <row r="43" spans="1:18" ht="15.75" x14ac:dyDescent="0.25">
      <c r="A43" s="25" t="s">
        <v>319</v>
      </c>
    </row>
    <row r="44" spans="1:18" ht="15.75" x14ac:dyDescent="0.25">
      <c r="B44" s="24" t="s">
        <v>320</v>
      </c>
    </row>
    <row r="45" spans="1:18" ht="15.75" x14ac:dyDescent="0.25">
      <c r="B45" s="24" t="s">
        <v>321</v>
      </c>
    </row>
    <row r="46" spans="1:18" ht="15.75" x14ac:dyDescent="0.25">
      <c r="B46" s="24" t="s">
        <v>322</v>
      </c>
    </row>
    <row r="47" spans="1:18" ht="15.75" x14ac:dyDescent="0.25">
      <c r="A47" s="24"/>
    </row>
    <row r="48" spans="1:18" ht="15.75" x14ac:dyDescent="0.25">
      <c r="A48" s="25" t="s">
        <v>323</v>
      </c>
    </row>
    <row r="49" spans="1:9" ht="15.75" x14ac:dyDescent="0.25">
      <c r="B49" s="24" t="s">
        <v>324</v>
      </c>
    </row>
    <row r="50" spans="1:9" ht="15.75" x14ac:dyDescent="0.25">
      <c r="B50" s="24" t="s">
        <v>325</v>
      </c>
    </row>
    <row r="51" spans="1:9" ht="15.75" x14ac:dyDescent="0.25">
      <c r="B51" s="24" t="s">
        <v>326</v>
      </c>
    </row>
    <row r="52" spans="1:9" ht="15.75" x14ac:dyDescent="0.25">
      <c r="A52" s="25"/>
    </row>
    <row r="53" spans="1:9" ht="15.75" x14ac:dyDescent="0.25">
      <c r="A53" s="25" t="s">
        <v>327</v>
      </c>
    </row>
    <row r="54" spans="1:9" ht="15.75" x14ac:dyDescent="0.25">
      <c r="B54" s="24" t="s">
        <v>328</v>
      </c>
      <c r="I54" s="64"/>
    </row>
    <row r="55" spans="1:9" ht="15.75" x14ac:dyDescent="0.25">
      <c r="B55" s="24" t="s">
        <v>329</v>
      </c>
    </row>
    <row r="56" spans="1:9" ht="15.75" x14ac:dyDescent="0.25">
      <c r="A56" s="24"/>
    </row>
    <row r="57" spans="1:9" ht="15.75" x14ac:dyDescent="0.25">
      <c r="A57" s="25" t="s">
        <v>330</v>
      </c>
    </row>
    <row r="58" spans="1:9" ht="15.75" x14ac:dyDescent="0.25">
      <c r="A58" s="24" t="s">
        <v>331</v>
      </c>
    </row>
    <row r="59" spans="1:9" ht="15.75" x14ac:dyDescent="0.25">
      <c r="A59" s="24"/>
    </row>
    <row r="60" spans="1:9" ht="15.75" x14ac:dyDescent="0.25">
      <c r="A60" s="25" t="s">
        <v>332</v>
      </c>
    </row>
    <row r="61" spans="1:9" ht="15.75" x14ac:dyDescent="0.25">
      <c r="A61" s="24" t="s">
        <v>333</v>
      </c>
    </row>
    <row r="62" spans="1:9" ht="15.75" x14ac:dyDescent="0.25">
      <c r="A62" s="24" t="s">
        <v>334</v>
      </c>
    </row>
    <row r="63" spans="1:9" ht="15.75" x14ac:dyDescent="0.25">
      <c r="A63" s="24"/>
    </row>
    <row r="64" spans="1:9" ht="15.75" x14ac:dyDescent="0.25">
      <c r="A64" s="25" t="s">
        <v>335</v>
      </c>
    </row>
    <row r="65" spans="1:2" ht="15.75" x14ac:dyDescent="0.25">
      <c r="B65" s="24" t="s">
        <v>336</v>
      </c>
    </row>
    <row r="66" spans="1:2" ht="15.75" x14ac:dyDescent="0.25">
      <c r="B66" s="24" t="s">
        <v>337</v>
      </c>
    </row>
    <row r="67" spans="1:2" ht="15.75" x14ac:dyDescent="0.25">
      <c r="A67" s="25" t="s">
        <v>669</v>
      </c>
    </row>
    <row r="68" spans="1:2" ht="15.75" x14ac:dyDescent="0.25">
      <c r="B68" s="24" t="s">
        <v>338</v>
      </c>
    </row>
    <row r="69" spans="1:2" ht="15.75" x14ac:dyDescent="0.25">
      <c r="B69" s="24" t="s">
        <v>339</v>
      </c>
    </row>
    <row r="70" spans="1:2" ht="15.75" x14ac:dyDescent="0.25">
      <c r="A70" s="25"/>
    </row>
    <row r="71" spans="1:2" ht="15.75" x14ac:dyDescent="0.25">
      <c r="A71" s="25" t="s">
        <v>340</v>
      </c>
    </row>
    <row r="72" spans="1:2" ht="15.75" x14ac:dyDescent="0.25">
      <c r="B72" s="24" t="s">
        <v>341</v>
      </c>
    </row>
    <row r="73" spans="1:2" ht="15.75" x14ac:dyDescent="0.25">
      <c r="B73" s="24" t="s">
        <v>342</v>
      </c>
    </row>
    <row r="74" spans="1:2" ht="15.75" x14ac:dyDescent="0.25">
      <c r="A74" s="24"/>
    </row>
    <row r="75" spans="1:2" ht="15.75" x14ac:dyDescent="0.25">
      <c r="A75" s="25" t="s">
        <v>343</v>
      </c>
    </row>
    <row r="76" spans="1:2" ht="15.75" x14ac:dyDescent="0.25">
      <c r="B76" s="24" t="s">
        <v>344</v>
      </c>
    </row>
    <row r="77" spans="1:2" ht="15.75" x14ac:dyDescent="0.25">
      <c r="B77" s="24" t="s">
        <v>345</v>
      </c>
    </row>
    <row r="78" spans="1:2" ht="15.75" x14ac:dyDescent="0.25">
      <c r="A78" s="24"/>
    </row>
    <row r="79" spans="1:2" ht="15.75" x14ac:dyDescent="0.25">
      <c r="A79" s="25" t="s">
        <v>346</v>
      </c>
    </row>
    <row r="80" spans="1:2" ht="15.75" x14ac:dyDescent="0.25">
      <c r="B80" s="24" t="s">
        <v>347</v>
      </c>
    </row>
    <row r="81" spans="1:9" ht="15.75" x14ac:dyDescent="0.25">
      <c r="B81" s="24" t="s">
        <v>348</v>
      </c>
    </row>
    <row r="82" spans="1:9" ht="15.75" x14ac:dyDescent="0.25">
      <c r="A82" s="24"/>
    </row>
    <row r="83" spans="1:9" ht="15.75" x14ac:dyDescent="0.25">
      <c r="A83" s="25" t="s">
        <v>349</v>
      </c>
    </row>
    <row r="84" spans="1:9" ht="15.75" x14ac:dyDescent="0.25">
      <c r="B84" s="24" t="s">
        <v>350</v>
      </c>
    </row>
    <row r="85" spans="1:9" ht="15.75" x14ac:dyDescent="0.25">
      <c r="B85" s="24" t="s">
        <v>351</v>
      </c>
    </row>
    <row r="86" spans="1:9" ht="15.75" x14ac:dyDescent="0.25">
      <c r="B86" s="24" t="s">
        <v>352</v>
      </c>
    </row>
    <row r="87" spans="1:9" ht="15.75" x14ac:dyDescent="0.25">
      <c r="B87" s="24" t="s">
        <v>353</v>
      </c>
    </row>
    <row r="88" spans="1:9" ht="15.75" x14ac:dyDescent="0.25">
      <c r="A88" s="24"/>
    </row>
    <row r="89" spans="1:9" ht="15.75" x14ac:dyDescent="0.25">
      <c r="A89" s="25" t="s">
        <v>354</v>
      </c>
      <c r="I89" s="64"/>
    </row>
    <row r="90" spans="1:9" ht="15.75" x14ac:dyDescent="0.25">
      <c r="B90" s="24" t="s">
        <v>355</v>
      </c>
    </row>
    <row r="91" spans="1:9" ht="15.75" x14ac:dyDescent="0.25">
      <c r="B91" s="24" t="s">
        <v>356</v>
      </c>
    </row>
    <row r="92" spans="1:9" ht="15.75" x14ac:dyDescent="0.25">
      <c r="B92" s="24" t="s">
        <v>357</v>
      </c>
    </row>
    <row r="93" spans="1:9" ht="15.75" x14ac:dyDescent="0.25">
      <c r="A93" s="24"/>
    </row>
    <row r="94" spans="1:9" ht="15.75" x14ac:dyDescent="0.25">
      <c r="A94" s="25" t="s">
        <v>358</v>
      </c>
      <c r="I94" s="65"/>
    </row>
    <row r="95" spans="1:9" ht="15.75" x14ac:dyDescent="0.25">
      <c r="A95" s="24"/>
      <c r="I95" s="65"/>
    </row>
    <row r="96" spans="1:9" ht="15.75" x14ac:dyDescent="0.25">
      <c r="B96" s="24" t="s">
        <v>359</v>
      </c>
      <c r="I96" s="65"/>
    </row>
    <row r="97" spans="1:9" ht="15.75" x14ac:dyDescent="0.25">
      <c r="B97" s="24" t="s">
        <v>360</v>
      </c>
      <c r="I97" s="65"/>
    </row>
    <row r="98" spans="1:9" ht="15.75" x14ac:dyDescent="0.25">
      <c r="B98" s="24"/>
      <c r="I98" s="65"/>
    </row>
    <row r="99" spans="1:9" ht="15.75" x14ac:dyDescent="0.25">
      <c r="A99" s="25" t="s">
        <v>382</v>
      </c>
      <c r="I99" s="65"/>
    </row>
    <row r="100" spans="1:9" ht="15.75" x14ac:dyDescent="0.25">
      <c r="B100" s="24" t="s">
        <v>383</v>
      </c>
      <c r="I100" s="65"/>
    </row>
    <row r="101" spans="1:9" ht="15.75" x14ac:dyDescent="0.25">
      <c r="B101" s="24" t="s">
        <v>384</v>
      </c>
      <c r="I101" s="65"/>
    </row>
    <row r="102" spans="1:9" ht="15.75" x14ac:dyDescent="0.25">
      <c r="A102" s="25"/>
    </row>
    <row r="103" spans="1:9" ht="15.75" x14ac:dyDescent="0.25">
      <c r="A103" s="25" t="s">
        <v>361</v>
      </c>
    </row>
    <row r="104" spans="1:9" ht="15.75" x14ac:dyDescent="0.25">
      <c r="B104" s="24" t="s">
        <v>362</v>
      </c>
    </row>
    <row r="105" spans="1:9" ht="15.75" x14ac:dyDescent="0.25">
      <c r="B105" s="24" t="s">
        <v>363</v>
      </c>
    </row>
    <row r="106" spans="1:9" ht="15.75" x14ac:dyDescent="0.25">
      <c r="A106" s="24"/>
    </row>
    <row r="107" spans="1:9" ht="15.75" x14ac:dyDescent="0.25">
      <c r="A107" s="25" t="s">
        <v>364</v>
      </c>
    </row>
    <row r="108" spans="1:9" ht="15.75" x14ac:dyDescent="0.25">
      <c r="B108" s="24" t="s">
        <v>365</v>
      </c>
    </row>
    <row r="109" spans="1:9" ht="15.75" x14ac:dyDescent="0.25">
      <c r="B109" s="24" t="s">
        <v>366</v>
      </c>
    </row>
    <row r="110" spans="1:9" ht="15.75" x14ac:dyDescent="0.25">
      <c r="B110" s="24" t="s">
        <v>367</v>
      </c>
    </row>
    <row r="111" spans="1:9" ht="15.75" x14ac:dyDescent="0.25">
      <c r="A111" s="24"/>
    </row>
    <row r="112" spans="1:9" ht="15.75" x14ac:dyDescent="0.25">
      <c r="A112" s="25" t="s">
        <v>368</v>
      </c>
    </row>
    <row r="113" spans="1:2" ht="15.75" x14ac:dyDescent="0.25">
      <c r="B113" s="24" t="s">
        <v>369</v>
      </c>
    </row>
    <row r="114" spans="1:2" ht="15.75" x14ac:dyDescent="0.25">
      <c r="B114" s="24" t="s">
        <v>370</v>
      </c>
    </row>
    <row r="115" spans="1:2" ht="15.75" x14ac:dyDescent="0.25">
      <c r="B115" s="24" t="s">
        <v>371</v>
      </c>
    </row>
    <row r="116" spans="1:2" ht="15.75" x14ac:dyDescent="0.25">
      <c r="A116" s="24"/>
    </row>
    <row r="117" spans="1:2" ht="15.75" x14ac:dyDescent="0.25">
      <c r="A117" s="25" t="s">
        <v>372</v>
      </c>
    </row>
    <row r="118" spans="1:2" ht="15.75" x14ac:dyDescent="0.25">
      <c r="B118" s="24" t="s">
        <v>373</v>
      </c>
    </row>
    <row r="119" spans="1:2" ht="15.75" x14ac:dyDescent="0.25">
      <c r="B119" s="24" t="s">
        <v>374</v>
      </c>
    </row>
    <row r="120" spans="1:2" ht="15.75" x14ac:dyDescent="0.25">
      <c r="B120" s="24" t="s">
        <v>375</v>
      </c>
    </row>
    <row r="121" spans="1:2" ht="15.75" x14ac:dyDescent="0.25">
      <c r="A121" s="24"/>
    </row>
    <row r="122" spans="1:2" ht="15.75" x14ac:dyDescent="0.25">
      <c r="A122" s="25" t="s">
        <v>376</v>
      </c>
    </row>
    <row r="123" spans="1:2" ht="15.75" x14ac:dyDescent="0.25">
      <c r="B123" s="24" t="s">
        <v>377</v>
      </c>
    </row>
    <row r="124" spans="1:2" ht="15.75" x14ac:dyDescent="0.25">
      <c r="B124" s="24" t="s">
        <v>378</v>
      </c>
    </row>
    <row r="125" spans="1:2" ht="15.75" x14ac:dyDescent="0.25">
      <c r="A125" s="24"/>
    </row>
    <row r="126" spans="1:2" ht="15.75" x14ac:dyDescent="0.25">
      <c r="A126" s="25" t="s">
        <v>379</v>
      </c>
    </row>
    <row r="127" spans="1:2" ht="15.75" x14ac:dyDescent="0.25">
      <c r="B127" s="24" t="s">
        <v>380</v>
      </c>
    </row>
    <row r="128" spans="1:2" ht="15.75" x14ac:dyDescent="0.25">
      <c r="B128" s="24" t="s">
        <v>381</v>
      </c>
    </row>
    <row r="129" spans="1:10" ht="15.75" x14ac:dyDescent="0.25">
      <c r="A129" s="24"/>
    </row>
    <row r="130" spans="1:10" ht="15.75" x14ac:dyDescent="0.25">
      <c r="A130" s="25" t="s">
        <v>385</v>
      </c>
    </row>
    <row r="131" spans="1:10" ht="15.75" x14ac:dyDescent="0.25">
      <c r="B131" s="24" t="s">
        <v>386</v>
      </c>
    </row>
    <row r="132" spans="1:10" ht="15.75" x14ac:dyDescent="0.25">
      <c r="B132" s="24" t="s">
        <v>387</v>
      </c>
    </row>
    <row r="133" spans="1:10" ht="15.75" x14ac:dyDescent="0.25">
      <c r="B133" s="24" t="s">
        <v>388</v>
      </c>
    </row>
    <row r="134" spans="1:10" ht="15.75" x14ac:dyDescent="0.25">
      <c r="A134" s="24"/>
    </row>
    <row r="135" spans="1:10" ht="15.75" x14ac:dyDescent="0.25">
      <c r="A135" s="25" t="s">
        <v>389</v>
      </c>
    </row>
    <row r="136" spans="1:10" ht="15.75" x14ac:dyDescent="0.25">
      <c r="B136" s="24" t="s">
        <v>390</v>
      </c>
    </row>
    <row r="137" spans="1:10" ht="15.75" x14ac:dyDescent="0.25">
      <c r="B137" s="24" t="s">
        <v>391</v>
      </c>
    </row>
    <row r="138" spans="1:10" ht="15.75" x14ac:dyDescent="0.25">
      <c r="A138" s="25" t="s">
        <v>392</v>
      </c>
    </row>
    <row r="139" spans="1:10" ht="15.75" x14ac:dyDescent="0.25">
      <c r="B139" s="24" t="s">
        <v>393</v>
      </c>
    </row>
    <row r="140" spans="1:10" ht="15.75" x14ac:dyDescent="0.25">
      <c r="B140" s="24" t="s">
        <v>394</v>
      </c>
    </row>
    <row r="141" spans="1:10" ht="15.75" x14ac:dyDescent="0.25">
      <c r="A141" s="24"/>
    </row>
    <row r="142" spans="1:10" ht="15.75" x14ac:dyDescent="0.25">
      <c r="A142" s="25" t="s">
        <v>395</v>
      </c>
    </row>
    <row r="143" spans="1:10" ht="15.75" x14ac:dyDescent="0.25">
      <c r="B143" s="24" t="s">
        <v>396</v>
      </c>
      <c r="J143" t="s">
        <v>670</v>
      </c>
    </row>
    <row r="144" spans="1:10" ht="15.75" x14ac:dyDescent="0.25">
      <c r="B144" s="24" t="s">
        <v>397</v>
      </c>
    </row>
    <row r="145" spans="1:2" ht="15.75" x14ac:dyDescent="0.25">
      <c r="A145" s="24"/>
    </row>
    <row r="146" spans="1:2" ht="15.75" x14ac:dyDescent="0.25">
      <c r="A146" s="24"/>
    </row>
    <row r="147" spans="1:2" ht="15.75" x14ac:dyDescent="0.25">
      <c r="A147" s="24"/>
    </row>
    <row r="148" spans="1:2" ht="15.75" x14ac:dyDescent="0.25">
      <c r="A148" s="33" t="s">
        <v>398</v>
      </c>
    </row>
    <row r="149" spans="1:2" ht="15.75" x14ac:dyDescent="0.25">
      <c r="A149" s="24"/>
    </row>
    <row r="150" spans="1:2" ht="15.75" x14ac:dyDescent="0.25">
      <c r="A150" s="25" t="s">
        <v>399</v>
      </c>
    </row>
    <row r="151" spans="1:2" ht="15.75" x14ac:dyDescent="0.25">
      <c r="B151" s="24" t="s">
        <v>400</v>
      </c>
    </row>
    <row r="152" spans="1:2" ht="15.75" x14ac:dyDescent="0.25">
      <c r="B152" s="24" t="s">
        <v>720</v>
      </c>
    </row>
    <row r="153" spans="1:2" ht="15.75" x14ac:dyDescent="0.25">
      <c r="A153" s="24"/>
    </row>
    <row r="154" spans="1:2" ht="15.75" x14ac:dyDescent="0.25">
      <c r="A154" s="25" t="s">
        <v>401</v>
      </c>
    </row>
    <row r="155" spans="1:2" ht="15.75" x14ac:dyDescent="0.25">
      <c r="B155" s="24" t="s">
        <v>402</v>
      </c>
    </row>
    <row r="156" spans="1:2" ht="15.75" x14ac:dyDescent="0.25">
      <c r="B156" s="24" t="s">
        <v>403</v>
      </c>
    </row>
    <row r="157" spans="1:2" ht="15.75" x14ac:dyDescent="0.25">
      <c r="B157" s="24" t="s">
        <v>404</v>
      </c>
    </row>
    <row r="158" spans="1:2" ht="15.75" x14ac:dyDescent="0.25">
      <c r="A158" s="24"/>
    </row>
    <row r="159" spans="1:2" ht="15.75" x14ac:dyDescent="0.25">
      <c r="A159" s="25" t="s">
        <v>405</v>
      </c>
    </row>
    <row r="160" spans="1:2" ht="15.75" x14ac:dyDescent="0.25">
      <c r="B160" s="24" t="s">
        <v>406</v>
      </c>
    </row>
    <row r="161" spans="1:2" ht="15.75" x14ac:dyDescent="0.25">
      <c r="B161" s="24" t="s">
        <v>407</v>
      </c>
    </row>
    <row r="162" spans="1:2" ht="15.75" x14ac:dyDescent="0.25">
      <c r="B162" s="24" t="s">
        <v>408</v>
      </c>
    </row>
    <row r="163" spans="1:2" ht="15.75" x14ac:dyDescent="0.25">
      <c r="B163" s="24" t="s">
        <v>409</v>
      </c>
    </row>
    <row r="164" spans="1:2" ht="15.75" x14ac:dyDescent="0.25">
      <c r="B164" s="24" t="s">
        <v>410</v>
      </c>
    </row>
    <row r="165" spans="1:2" ht="15.75" x14ac:dyDescent="0.25">
      <c r="B165" s="24" t="s">
        <v>411</v>
      </c>
    </row>
    <row r="166" spans="1:2" ht="15.75" x14ac:dyDescent="0.25">
      <c r="B166" s="24" t="s">
        <v>412</v>
      </c>
    </row>
    <row r="167" spans="1:2" ht="15.75" x14ac:dyDescent="0.25">
      <c r="B167" s="24" t="s">
        <v>413</v>
      </c>
    </row>
    <row r="168" spans="1:2" ht="15.75" x14ac:dyDescent="0.25">
      <c r="A168" s="24"/>
    </row>
    <row r="169" spans="1:2" ht="15.75" x14ac:dyDescent="0.25">
      <c r="A169" s="25" t="s">
        <v>414</v>
      </c>
    </row>
    <row r="170" spans="1:2" ht="15.75" x14ac:dyDescent="0.25">
      <c r="B170" s="24" t="s">
        <v>415</v>
      </c>
    </row>
    <row r="171" spans="1:2" ht="15.75" x14ac:dyDescent="0.25">
      <c r="B171" s="24" t="s">
        <v>416</v>
      </c>
    </row>
    <row r="172" spans="1:2" ht="15.75" x14ac:dyDescent="0.25">
      <c r="A172" s="24"/>
    </row>
    <row r="173" spans="1:2" ht="15.75" x14ac:dyDescent="0.25">
      <c r="A173" s="25" t="s">
        <v>417</v>
      </c>
    </row>
    <row r="174" spans="1:2" ht="15.75" x14ac:dyDescent="0.25">
      <c r="B174" s="24" t="s">
        <v>418</v>
      </c>
    </row>
    <row r="175" spans="1:2" ht="15.75" x14ac:dyDescent="0.25">
      <c r="B175" s="24" t="s">
        <v>419</v>
      </c>
    </row>
    <row r="176" spans="1:2" ht="15.75" x14ac:dyDescent="0.25">
      <c r="A176" s="24"/>
    </row>
    <row r="177" spans="1:2" ht="15.75" x14ac:dyDescent="0.25">
      <c r="A177" s="25" t="s">
        <v>420</v>
      </c>
    </row>
    <row r="178" spans="1:2" ht="15.75" x14ac:dyDescent="0.25">
      <c r="B178" s="24" t="s">
        <v>421</v>
      </c>
    </row>
    <row r="179" spans="1:2" ht="15.75" x14ac:dyDescent="0.25">
      <c r="B179" s="24" t="s">
        <v>422</v>
      </c>
    </row>
    <row r="180" spans="1:2" ht="15.75" x14ac:dyDescent="0.25">
      <c r="A180" s="24"/>
    </row>
    <row r="181" spans="1:2" ht="15.75" x14ac:dyDescent="0.25">
      <c r="A181" s="33" t="s">
        <v>423</v>
      </c>
    </row>
    <row r="182" spans="1:2" ht="15.75" x14ac:dyDescent="0.25">
      <c r="A182" s="24"/>
    </row>
    <row r="183" spans="1:2" ht="15.75" x14ac:dyDescent="0.25">
      <c r="A183" s="25" t="s">
        <v>424</v>
      </c>
    </row>
    <row r="184" spans="1:2" ht="15.75" x14ac:dyDescent="0.25">
      <c r="B184" s="24" t="s">
        <v>425</v>
      </c>
    </row>
    <row r="185" spans="1:2" ht="15.75" x14ac:dyDescent="0.25">
      <c r="B185" s="24" t="s">
        <v>426</v>
      </c>
    </row>
    <row r="186" spans="1:2" ht="15.75" x14ac:dyDescent="0.25">
      <c r="A186" s="24"/>
    </row>
    <row r="187" spans="1:2" ht="15.75" x14ac:dyDescent="0.25">
      <c r="A187" s="25" t="s">
        <v>427</v>
      </c>
    </row>
    <row r="188" spans="1:2" ht="15.75" x14ac:dyDescent="0.25">
      <c r="B188" s="24" t="s">
        <v>425</v>
      </c>
    </row>
    <row r="189" spans="1:2" ht="15.75" x14ac:dyDescent="0.25">
      <c r="B189" s="24" t="s">
        <v>428</v>
      </c>
    </row>
    <row r="190" spans="1:2" ht="15.75" x14ac:dyDescent="0.25">
      <c r="B190" s="24" t="s">
        <v>429</v>
      </c>
    </row>
    <row r="191" spans="1:2" ht="15.75" x14ac:dyDescent="0.25">
      <c r="A191" s="24"/>
    </row>
    <row r="192" spans="1:2" ht="15.75" x14ac:dyDescent="0.25">
      <c r="A192" s="25" t="s">
        <v>430</v>
      </c>
    </row>
    <row r="193" spans="1:2" ht="15.75" x14ac:dyDescent="0.25">
      <c r="B193" s="24" t="s">
        <v>425</v>
      </c>
    </row>
    <row r="194" spans="1:2" ht="15.75" x14ac:dyDescent="0.25">
      <c r="B194" s="24" t="s">
        <v>426</v>
      </c>
    </row>
    <row r="195" spans="1:2" ht="15.75" x14ac:dyDescent="0.25">
      <c r="A195" s="24"/>
    </row>
    <row r="196" spans="1:2" ht="15.75" x14ac:dyDescent="0.25">
      <c r="A196" s="25" t="s">
        <v>431</v>
      </c>
    </row>
    <row r="197" spans="1:2" ht="15.75" x14ac:dyDescent="0.25">
      <c r="B197" s="24" t="s">
        <v>432</v>
      </c>
    </row>
    <row r="198" spans="1:2" ht="15.75" x14ac:dyDescent="0.25">
      <c r="B198" s="24" t="s">
        <v>433</v>
      </c>
    </row>
    <row r="199" spans="1:2" ht="15.75" x14ac:dyDescent="0.25">
      <c r="B199" s="24" t="s">
        <v>434</v>
      </c>
    </row>
    <row r="200" spans="1:2" ht="15.75" x14ac:dyDescent="0.25">
      <c r="A200" s="24"/>
    </row>
    <row r="201" spans="1:2" ht="15.75" x14ac:dyDescent="0.25">
      <c r="A201" s="25" t="s">
        <v>435</v>
      </c>
    </row>
    <row r="202" spans="1:2" ht="15.75" x14ac:dyDescent="0.25">
      <c r="B202" s="24" t="s">
        <v>436</v>
      </c>
    </row>
    <row r="203" spans="1:2" ht="15.75" x14ac:dyDescent="0.25">
      <c r="B203" s="24" t="s">
        <v>437</v>
      </c>
    </row>
    <row r="204" spans="1:2" ht="15.75" x14ac:dyDescent="0.25">
      <c r="B204" s="24" t="s">
        <v>438</v>
      </c>
    </row>
    <row r="205" spans="1:2" ht="15.75" x14ac:dyDescent="0.25">
      <c r="A205" s="24"/>
    </row>
    <row r="206" spans="1:2" ht="15.75" x14ac:dyDescent="0.25">
      <c r="A206" s="25" t="s">
        <v>439</v>
      </c>
    </row>
    <row r="207" spans="1:2" ht="15.75" x14ac:dyDescent="0.25">
      <c r="A207" s="25" t="s">
        <v>440</v>
      </c>
    </row>
    <row r="208" spans="1:2" ht="15.75" x14ac:dyDescent="0.25">
      <c r="B208" s="24" t="s">
        <v>441</v>
      </c>
    </row>
    <row r="209" spans="1:3" ht="15.75" x14ac:dyDescent="0.25">
      <c r="B209" s="24" t="s">
        <v>442</v>
      </c>
    </row>
    <row r="210" spans="1:3" ht="15.75" x14ac:dyDescent="0.25">
      <c r="B210" s="24" t="s">
        <v>443</v>
      </c>
    </row>
    <row r="211" spans="1:3" ht="15.75" x14ac:dyDescent="0.25">
      <c r="B211" s="24" t="s">
        <v>444</v>
      </c>
    </row>
    <row r="212" spans="1:3" ht="15.75" x14ac:dyDescent="0.25">
      <c r="B212" s="24" t="s">
        <v>445</v>
      </c>
    </row>
    <row r="213" spans="1:3" ht="15.75" x14ac:dyDescent="0.25">
      <c r="A213" s="24"/>
    </row>
    <row r="214" spans="1:3" ht="15.75" x14ac:dyDescent="0.25">
      <c r="A214" s="25" t="s">
        <v>446</v>
      </c>
    </row>
    <row r="215" spans="1:3" ht="15.75" x14ac:dyDescent="0.25">
      <c r="B215" s="24" t="s">
        <v>447</v>
      </c>
    </row>
    <row r="216" spans="1:3" ht="15.75" x14ac:dyDescent="0.25">
      <c r="B216" s="24" t="s">
        <v>448</v>
      </c>
      <c r="C216" s="24" t="s">
        <v>449</v>
      </c>
    </row>
    <row r="217" spans="1:3" ht="15.75" x14ac:dyDescent="0.25">
      <c r="A217" s="24"/>
    </row>
    <row r="218" spans="1:3" ht="15.75" x14ac:dyDescent="0.25">
      <c r="A218" s="25" t="s">
        <v>450</v>
      </c>
    </row>
    <row r="219" spans="1:3" ht="15.75" x14ac:dyDescent="0.25">
      <c r="B219" s="24" t="s">
        <v>451</v>
      </c>
    </row>
    <row r="220" spans="1:3" ht="15.75" x14ac:dyDescent="0.25">
      <c r="B220" s="24" t="s">
        <v>671</v>
      </c>
    </row>
    <row r="221" spans="1:3" ht="15.75" x14ac:dyDescent="0.25">
      <c r="B221" s="24" t="s">
        <v>452</v>
      </c>
    </row>
    <row r="222" spans="1:3" ht="15.75" x14ac:dyDescent="0.25">
      <c r="A222" s="24"/>
    </row>
    <row r="223" spans="1:3" ht="15.75" x14ac:dyDescent="0.25">
      <c r="A223" s="25" t="s">
        <v>453</v>
      </c>
    </row>
    <row r="224" spans="1:3" ht="15.75" x14ac:dyDescent="0.25">
      <c r="A224" s="25" t="s">
        <v>454</v>
      </c>
    </row>
    <row r="225" spans="1:2" ht="15.75" x14ac:dyDescent="0.25">
      <c r="B225" s="24" t="s">
        <v>455</v>
      </c>
    </row>
    <row r="226" spans="1:2" ht="15.75" x14ac:dyDescent="0.25">
      <c r="B226" s="24" t="s">
        <v>456</v>
      </c>
    </row>
    <row r="227" spans="1:2" ht="15.75" x14ac:dyDescent="0.25">
      <c r="B227" s="24" t="s">
        <v>457</v>
      </c>
    </row>
    <row r="228" spans="1:2" ht="15.75" x14ac:dyDescent="0.25">
      <c r="A228" s="24"/>
    </row>
    <row r="229" spans="1:2" ht="15.75" x14ac:dyDescent="0.25">
      <c r="A229" s="25" t="s">
        <v>458</v>
      </c>
    </row>
    <row r="230" spans="1:2" ht="15.75" x14ac:dyDescent="0.25">
      <c r="A230" s="25" t="s">
        <v>459</v>
      </c>
    </row>
    <row r="231" spans="1:2" ht="15.75" x14ac:dyDescent="0.25">
      <c r="B231" s="24" t="s">
        <v>460</v>
      </c>
    </row>
    <row r="232" spans="1:2" ht="15.75" x14ac:dyDescent="0.25">
      <c r="B232" s="24" t="s">
        <v>461</v>
      </c>
    </row>
    <row r="233" spans="1:2" ht="15.75" x14ac:dyDescent="0.25">
      <c r="A233" s="24"/>
    </row>
    <row r="234" spans="1:2" ht="15.75" x14ac:dyDescent="0.25">
      <c r="A234" s="25" t="s">
        <v>462</v>
      </c>
    </row>
    <row r="235" spans="1:2" ht="15.75" x14ac:dyDescent="0.25">
      <c r="A235" s="25" t="s">
        <v>463</v>
      </c>
    </row>
    <row r="236" spans="1:2" ht="15.75" x14ac:dyDescent="0.25">
      <c r="B236" s="24" t="s">
        <v>464</v>
      </c>
    </row>
    <row r="237" spans="1:2" ht="15.75" x14ac:dyDescent="0.25">
      <c r="B237" s="24" t="s">
        <v>465</v>
      </c>
    </row>
    <row r="238" spans="1:2" ht="15.75" x14ac:dyDescent="0.25">
      <c r="A238" s="24"/>
    </row>
    <row r="239" spans="1:2" ht="15.75" x14ac:dyDescent="0.25">
      <c r="A239" s="25" t="s">
        <v>466</v>
      </c>
    </row>
    <row r="240" spans="1:2" ht="15.75" x14ac:dyDescent="0.25">
      <c r="A240" s="25" t="s">
        <v>467</v>
      </c>
    </row>
    <row r="241" spans="1:2" ht="15.75" x14ac:dyDescent="0.25">
      <c r="B241" s="24" t="s">
        <v>468</v>
      </c>
    </row>
    <row r="242" spans="1:2" ht="15.75" x14ac:dyDescent="0.25">
      <c r="B242" s="24" t="s">
        <v>469</v>
      </c>
    </row>
    <row r="243" spans="1:2" ht="15.75" x14ac:dyDescent="0.25">
      <c r="A243" s="24"/>
    </row>
    <row r="244" spans="1:2" ht="15.75" x14ac:dyDescent="0.25">
      <c r="A244" s="25" t="s">
        <v>470</v>
      </c>
    </row>
    <row r="245" spans="1:2" ht="15.75" x14ac:dyDescent="0.25">
      <c r="B245" s="24" t="s">
        <v>471</v>
      </c>
    </row>
    <row r="246" spans="1:2" ht="15.75" x14ac:dyDescent="0.25">
      <c r="A246" s="25" t="s">
        <v>472</v>
      </c>
    </row>
    <row r="247" spans="1:2" ht="15.75" x14ac:dyDescent="0.25">
      <c r="B247" s="24" t="s">
        <v>473</v>
      </c>
    </row>
    <row r="248" spans="1:2" ht="15.75" x14ac:dyDescent="0.25">
      <c r="A248" s="24"/>
    </row>
    <row r="249" spans="1:2" ht="15.75" x14ac:dyDescent="0.25">
      <c r="A249" s="25" t="s">
        <v>474</v>
      </c>
    </row>
    <row r="250" spans="1:2" ht="15.75" x14ac:dyDescent="0.25">
      <c r="B250" s="24" t="s">
        <v>475</v>
      </c>
    </row>
    <row r="251" spans="1:2" ht="15.75" x14ac:dyDescent="0.25">
      <c r="B251" s="24" t="s">
        <v>476</v>
      </c>
    </row>
    <row r="252" spans="1:2" ht="15.75" x14ac:dyDescent="0.25">
      <c r="B252" s="24" t="s">
        <v>477</v>
      </c>
    </row>
    <row r="253" spans="1:2" ht="15.75" x14ac:dyDescent="0.25">
      <c r="A253" s="24"/>
    </row>
    <row r="254" spans="1:2" ht="15.75" x14ac:dyDescent="0.25">
      <c r="A254" s="25" t="s">
        <v>478</v>
      </c>
    </row>
    <row r="255" spans="1:2" ht="15.75" x14ac:dyDescent="0.25">
      <c r="B255" s="24" t="s">
        <v>479</v>
      </c>
    </row>
    <row r="256" spans="1:2" ht="15.75" x14ac:dyDescent="0.25">
      <c r="B256" s="24" t="s">
        <v>480</v>
      </c>
    </row>
    <row r="257" spans="1:2" ht="15.75" x14ac:dyDescent="0.25">
      <c r="B257" s="24" t="s">
        <v>481</v>
      </c>
    </row>
    <row r="258" spans="1:2" ht="15.75" x14ac:dyDescent="0.25">
      <c r="A258" s="24"/>
    </row>
    <row r="259" spans="1:2" ht="15.75" x14ac:dyDescent="0.25">
      <c r="A259" s="25" t="s">
        <v>482</v>
      </c>
    </row>
    <row r="260" spans="1:2" ht="15.75" x14ac:dyDescent="0.25">
      <c r="B260" s="24" t="s">
        <v>483</v>
      </c>
    </row>
    <row r="261" spans="1:2" ht="15.75" x14ac:dyDescent="0.25">
      <c r="A261" s="24"/>
    </row>
    <row r="262" spans="1:2" ht="15.75" x14ac:dyDescent="0.25">
      <c r="A262" s="25" t="s">
        <v>484</v>
      </c>
    </row>
    <row r="263" spans="1:2" ht="15.75" x14ac:dyDescent="0.25">
      <c r="B263" s="24" t="s">
        <v>485</v>
      </c>
    </row>
    <row r="264" spans="1:2" ht="15.75" x14ac:dyDescent="0.25">
      <c r="B264" s="24" t="s">
        <v>486</v>
      </c>
    </row>
    <row r="265" spans="1:2" ht="15.75" x14ac:dyDescent="0.25">
      <c r="A265" s="24"/>
    </row>
    <row r="266" spans="1:2" ht="15.75" x14ac:dyDescent="0.25">
      <c r="A266" s="25" t="s">
        <v>487</v>
      </c>
    </row>
    <row r="267" spans="1:2" ht="15.75" x14ac:dyDescent="0.25">
      <c r="B267" s="24" t="s">
        <v>488</v>
      </c>
    </row>
    <row r="268" spans="1:2" ht="15.75" x14ac:dyDescent="0.25">
      <c r="B268" s="24" t="s">
        <v>489</v>
      </c>
    </row>
    <row r="269" spans="1:2" ht="15.75" x14ac:dyDescent="0.25">
      <c r="A269" s="24"/>
    </row>
    <row r="270" spans="1:2" ht="15.75" x14ac:dyDescent="0.25">
      <c r="A270" s="25" t="s">
        <v>490</v>
      </c>
    </row>
    <row r="271" spans="1:2" ht="15.75" x14ac:dyDescent="0.25">
      <c r="B271" s="24" t="s">
        <v>491</v>
      </c>
    </row>
    <row r="272" spans="1:2" ht="15.75" x14ac:dyDescent="0.25">
      <c r="B272" s="24" t="s">
        <v>492</v>
      </c>
    </row>
    <row r="273" spans="1:2" ht="15.75" x14ac:dyDescent="0.25">
      <c r="A273" s="24"/>
    </row>
    <row r="274" spans="1:2" ht="15.75" x14ac:dyDescent="0.25">
      <c r="A274" s="25" t="s">
        <v>493</v>
      </c>
    </row>
    <row r="275" spans="1:2" ht="15.75" x14ac:dyDescent="0.25">
      <c r="B275" s="24" t="s">
        <v>494</v>
      </c>
    </row>
    <row r="276" spans="1:2" ht="15.75" x14ac:dyDescent="0.25">
      <c r="B276" s="24" t="s">
        <v>329</v>
      </c>
    </row>
    <row r="277" spans="1:2" ht="15.75" x14ac:dyDescent="0.25">
      <c r="A277" s="24"/>
    </row>
    <row r="278" spans="1:2" ht="15.75" x14ac:dyDescent="0.25">
      <c r="A278" s="24"/>
    </row>
    <row r="279" spans="1:2" ht="15.75" x14ac:dyDescent="0.25">
      <c r="A279" s="25" t="s">
        <v>495</v>
      </c>
    </row>
    <row r="280" spans="1:2" ht="15.75" x14ac:dyDescent="0.25">
      <c r="B280" s="24" t="s">
        <v>496</v>
      </c>
    </row>
    <row r="281" spans="1:2" ht="15.75" x14ac:dyDescent="0.25">
      <c r="A281" s="24"/>
    </row>
    <row r="282" spans="1:2" ht="15.75" x14ac:dyDescent="0.25">
      <c r="A282" s="25" t="s">
        <v>497</v>
      </c>
    </row>
    <row r="283" spans="1:2" ht="15.75" x14ac:dyDescent="0.25">
      <c r="B283" s="24" t="s">
        <v>498</v>
      </c>
    </row>
    <row r="284" spans="1:2" ht="15.75" x14ac:dyDescent="0.25">
      <c r="B284" s="24" t="s">
        <v>499</v>
      </c>
    </row>
    <row r="285" spans="1:2" ht="15.75" x14ac:dyDescent="0.25">
      <c r="A285" s="24"/>
    </row>
    <row r="286" spans="1:2" ht="15.75" x14ac:dyDescent="0.25">
      <c r="A286" s="25" t="s">
        <v>500</v>
      </c>
    </row>
    <row r="287" spans="1:2" ht="15.75" x14ac:dyDescent="0.25">
      <c r="B287" s="24" t="s">
        <v>501</v>
      </c>
    </row>
    <row r="288" spans="1:2" ht="15.75" x14ac:dyDescent="0.25">
      <c r="B288" s="24" t="s">
        <v>502</v>
      </c>
    </row>
    <row r="289" spans="1:2" ht="15.75" x14ac:dyDescent="0.25">
      <c r="A289" s="24"/>
    </row>
    <row r="290" spans="1:2" ht="15.75" x14ac:dyDescent="0.25">
      <c r="A290" s="33" t="s">
        <v>503</v>
      </c>
    </row>
    <row r="291" spans="1:2" ht="15.75" x14ac:dyDescent="0.25">
      <c r="A291" s="24" t="s">
        <v>504</v>
      </c>
    </row>
    <row r="292" spans="1:2" ht="15.75" x14ac:dyDescent="0.25">
      <c r="A292" s="25" t="s">
        <v>505</v>
      </c>
    </row>
    <row r="293" spans="1:2" ht="15.75" x14ac:dyDescent="0.25">
      <c r="B293" s="24" t="s">
        <v>506</v>
      </c>
    </row>
    <row r="294" spans="1:2" ht="15.75" x14ac:dyDescent="0.25">
      <c r="B294" s="24" t="s">
        <v>507</v>
      </c>
    </row>
    <row r="295" spans="1:2" ht="15.75" x14ac:dyDescent="0.25">
      <c r="A295" s="25" t="s">
        <v>508</v>
      </c>
    </row>
    <row r="296" spans="1:2" ht="15.75" x14ac:dyDescent="0.25">
      <c r="B296" s="24" t="s">
        <v>509</v>
      </c>
    </row>
    <row r="297" spans="1:2" ht="15.75" x14ac:dyDescent="0.25">
      <c r="B297" s="24" t="s">
        <v>510</v>
      </c>
    </row>
    <row r="298" spans="1:2" ht="15.75" x14ac:dyDescent="0.25">
      <c r="A298" s="24"/>
    </row>
    <row r="299" spans="1:2" ht="15.75" x14ac:dyDescent="0.25">
      <c r="A299" s="25" t="s">
        <v>511</v>
      </c>
    </row>
    <row r="300" spans="1:2" ht="15.75" x14ac:dyDescent="0.25">
      <c r="B300" s="24" t="s">
        <v>512</v>
      </c>
    </row>
    <row r="301" spans="1:2" ht="15.75" x14ac:dyDescent="0.25">
      <c r="B301" s="24" t="s">
        <v>513</v>
      </c>
    </row>
    <row r="302" spans="1:2" ht="15.75" x14ac:dyDescent="0.25">
      <c r="A302" s="25" t="s">
        <v>99</v>
      </c>
    </row>
    <row r="303" spans="1:2" ht="15.75" x14ac:dyDescent="0.25">
      <c r="B303" s="24" t="s">
        <v>514</v>
      </c>
    </row>
    <row r="304" spans="1:2" ht="15.75" x14ac:dyDescent="0.25">
      <c r="B304" s="24" t="s">
        <v>515</v>
      </c>
    </row>
    <row r="305" spans="1:4" ht="15.75" x14ac:dyDescent="0.25">
      <c r="A305" s="24"/>
    </row>
    <row r="306" spans="1:4" ht="15.75" x14ac:dyDescent="0.25">
      <c r="A306" s="25" t="s">
        <v>516</v>
      </c>
    </row>
    <row r="307" spans="1:4" ht="15.75" x14ac:dyDescent="0.25">
      <c r="B307" s="24" t="s">
        <v>517</v>
      </c>
    </row>
    <row r="308" spans="1:4" ht="15.75" x14ac:dyDescent="0.25">
      <c r="B308" s="24" t="s">
        <v>518</v>
      </c>
    </row>
    <row r="309" spans="1:4" ht="15.75" x14ac:dyDescent="0.25">
      <c r="A309" s="24"/>
    </row>
    <row r="310" spans="1:4" ht="15.75" x14ac:dyDescent="0.25">
      <c r="A310" s="25" t="s">
        <v>519</v>
      </c>
    </row>
    <row r="311" spans="1:4" ht="15.75" x14ac:dyDescent="0.25">
      <c r="B311" s="24" t="s">
        <v>520</v>
      </c>
    </row>
    <row r="312" spans="1:4" ht="15.75" x14ac:dyDescent="0.25">
      <c r="B312" s="24" t="s">
        <v>521</v>
      </c>
    </row>
    <row r="313" spans="1:4" ht="15.75" x14ac:dyDescent="0.25">
      <c r="A313" s="24"/>
    </row>
    <row r="314" spans="1:4" ht="15.75" x14ac:dyDescent="0.25">
      <c r="A314" s="33" t="s">
        <v>522</v>
      </c>
      <c r="B314" s="34"/>
      <c r="C314" s="34"/>
      <c r="D314" s="34"/>
    </row>
    <row r="315" spans="1:4" ht="15.75" x14ac:dyDescent="0.25">
      <c r="A315" s="24"/>
    </row>
    <row r="316" spans="1:4" ht="15.75" x14ac:dyDescent="0.25">
      <c r="A316" s="25" t="s">
        <v>523</v>
      </c>
    </row>
    <row r="317" spans="1:4" ht="15.75" x14ac:dyDescent="0.25">
      <c r="B317" s="24" t="s">
        <v>524</v>
      </c>
    </row>
    <row r="318" spans="1:4" ht="15.75" x14ac:dyDescent="0.25">
      <c r="B318" s="24" t="s">
        <v>525</v>
      </c>
    </row>
    <row r="319" spans="1:4" ht="15.75" x14ac:dyDescent="0.25">
      <c r="A319" s="24"/>
    </row>
    <row r="320" spans="1:4" ht="15.75" x14ac:dyDescent="0.25">
      <c r="A320" s="25" t="s">
        <v>526</v>
      </c>
    </row>
    <row r="321" spans="1:2" ht="15.75" x14ac:dyDescent="0.25">
      <c r="B321" s="24" t="s">
        <v>527</v>
      </c>
    </row>
    <row r="322" spans="1:2" ht="15.75" x14ac:dyDescent="0.25">
      <c r="A322" s="25" t="s">
        <v>528</v>
      </c>
    </row>
    <row r="323" spans="1:2" ht="15.75" x14ac:dyDescent="0.25">
      <c r="B323" s="24" t="s">
        <v>529</v>
      </c>
    </row>
    <row r="324" spans="1:2" ht="15.75" x14ac:dyDescent="0.25">
      <c r="B324" s="24" t="s">
        <v>499</v>
      </c>
    </row>
    <row r="325" spans="1:2" ht="15.75" x14ac:dyDescent="0.25">
      <c r="A325" s="24"/>
    </row>
    <row r="326" spans="1:2" ht="15.75" x14ac:dyDescent="0.25">
      <c r="A326" s="25" t="s">
        <v>530</v>
      </c>
    </row>
    <row r="327" spans="1:2" ht="15.75" x14ac:dyDescent="0.25">
      <c r="B327" s="24" t="s">
        <v>531</v>
      </c>
    </row>
    <row r="328" spans="1:2" ht="15.75" x14ac:dyDescent="0.25">
      <c r="B328" s="24" t="s">
        <v>329</v>
      </c>
    </row>
    <row r="329" spans="1:2" ht="15.75" x14ac:dyDescent="0.25">
      <c r="A329" s="24"/>
    </row>
    <row r="330" spans="1:2" ht="15.75" x14ac:dyDescent="0.25">
      <c r="A330" s="25" t="s">
        <v>532</v>
      </c>
    </row>
    <row r="331" spans="1:2" ht="15.75" x14ac:dyDescent="0.25">
      <c r="B331" s="24" t="s">
        <v>533</v>
      </c>
    </row>
    <row r="332" spans="1:2" ht="15.75" x14ac:dyDescent="0.25">
      <c r="B332" s="24" t="s">
        <v>534</v>
      </c>
    </row>
    <row r="333" spans="1:2" ht="15.75" x14ac:dyDescent="0.25">
      <c r="A333" s="24"/>
    </row>
    <row r="334" spans="1:2" ht="15.75" x14ac:dyDescent="0.25">
      <c r="B334" s="24" t="s">
        <v>535</v>
      </c>
    </row>
    <row r="335" spans="1:2" ht="15.75" x14ac:dyDescent="0.25">
      <c r="A335" s="24"/>
    </row>
    <row r="336" spans="1:2" ht="15.75" x14ac:dyDescent="0.25">
      <c r="A336" s="25" t="s">
        <v>536</v>
      </c>
    </row>
    <row r="337" spans="1:2" ht="15.75" x14ac:dyDescent="0.25">
      <c r="B337" s="24" t="s">
        <v>537</v>
      </c>
    </row>
    <row r="338" spans="1:2" ht="15.75" x14ac:dyDescent="0.25">
      <c r="B338" s="24" t="s">
        <v>538</v>
      </c>
    </row>
    <row r="339" spans="1:2" ht="15.75" x14ac:dyDescent="0.25">
      <c r="B339" s="24" t="s">
        <v>539</v>
      </c>
    </row>
    <row r="340" spans="1:2" ht="15.75" x14ac:dyDescent="0.25">
      <c r="B340" s="24" t="s">
        <v>540</v>
      </c>
    </row>
    <row r="341" spans="1:2" ht="15.75" x14ac:dyDescent="0.25">
      <c r="A341" s="24"/>
    </row>
    <row r="342" spans="1:2" ht="15.75" x14ac:dyDescent="0.25">
      <c r="A342" s="25" t="s">
        <v>541</v>
      </c>
    </row>
    <row r="343" spans="1:2" ht="15.75" x14ac:dyDescent="0.25">
      <c r="B343" s="24" t="s">
        <v>542</v>
      </c>
    </row>
    <row r="344" spans="1:2" ht="15.75" x14ac:dyDescent="0.25">
      <c r="B344" s="24" t="s">
        <v>543</v>
      </c>
    </row>
    <row r="345" spans="1:2" ht="15.75" x14ac:dyDescent="0.25">
      <c r="B345" s="24" t="s">
        <v>544</v>
      </c>
    </row>
    <row r="346" spans="1:2" ht="15.75" x14ac:dyDescent="0.25">
      <c r="B346" s="24" t="s">
        <v>545</v>
      </c>
    </row>
    <row r="347" spans="1:2" ht="15.75" x14ac:dyDescent="0.25">
      <c r="A347" s="24"/>
    </row>
    <row r="348" spans="1:2" ht="15.75" x14ac:dyDescent="0.25">
      <c r="A348" s="33" t="s">
        <v>546</v>
      </c>
    </row>
    <row r="349" spans="1:2" ht="15.75" x14ac:dyDescent="0.25">
      <c r="A349" s="24"/>
    </row>
    <row r="350" spans="1:2" ht="15.75" x14ac:dyDescent="0.25">
      <c r="A350" s="25" t="s">
        <v>547</v>
      </c>
    </row>
    <row r="351" spans="1:2" ht="15.75" x14ac:dyDescent="0.25">
      <c r="B351" s="24" t="s">
        <v>548</v>
      </c>
    </row>
    <row r="352" spans="1:2" ht="15.75" x14ac:dyDescent="0.25">
      <c r="B352" s="24" t="s">
        <v>549</v>
      </c>
    </row>
    <row r="353" spans="1:3" ht="15.75" x14ac:dyDescent="0.25">
      <c r="B353" s="24" t="s">
        <v>550</v>
      </c>
    </row>
    <row r="354" spans="1:3" ht="15.75" x14ac:dyDescent="0.25">
      <c r="B354" s="24" t="s">
        <v>329</v>
      </c>
    </row>
    <row r="355" spans="1:3" ht="15.75" x14ac:dyDescent="0.25">
      <c r="A355" s="24"/>
    </row>
    <row r="356" spans="1:3" ht="15.75" x14ac:dyDescent="0.25">
      <c r="A356" s="35" t="s">
        <v>551</v>
      </c>
    </row>
    <row r="357" spans="1:3" ht="15.75" x14ac:dyDescent="0.25">
      <c r="A357" s="33" t="s">
        <v>552</v>
      </c>
      <c r="B357" s="34"/>
      <c r="C357" s="34"/>
    </row>
    <row r="358" spans="1:3" ht="15.75" x14ac:dyDescent="0.25">
      <c r="A358" s="33" t="s">
        <v>553</v>
      </c>
      <c r="B358" s="34"/>
      <c r="C358" s="34"/>
    </row>
    <row r="359" spans="1:3" ht="15.75" x14ac:dyDescent="0.25">
      <c r="A359" s="33" t="s">
        <v>554</v>
      </c>
      <c r="B359" s="34"/>
      <c r="C359" s="34"/>
    </row>
    <row r="360" spans="1:3" ht="15.75" x14ac:dyDescent="0.25">
      <c r="A360" s="24"/>
    </row>
    <row r="361" spans="1:3" ht="15.75" x14ac:dyDescent="0.25">
      <c r="A361" s="25" t="s">
        <v>555</v>
      </c>
    </row>
    <row r="362" spans="1:3" ht="15.75" x14ac:dyDescent="0.25">
      <c r="B362" s="24" t="s">
        <v>556</v>
      </c>
    </row>
    <row r="363" spans="1:3" ht="15.75" x14ac:dyDescent="0.25">
      <c r="B363" s="24" t="s">
        <v>557</v>
      </c>
    </row>
    <row r="364" spans="1:3" ht="15.75" x14ac:dyDescent="0.25">
      <c r="B364" s="24" t="s">
        <v>558</v>
      </c>
    </row>
    <row r="365" spans="1:3" ht="15.75" x14ac:dyDescent="0.25">
      <c r="A365" s="24"/>
    </row>
    <row r="366" spans="1:3" ht="15.75" x14ac:dyDescent="0.25">
      <c r="A366" s="25" t="s">
        <v>559</v>
      </c>
    </row>
    <row r="367" spans="1:3" ht="15.75" x14ac:dyDescent="0.25">
      <c r="B367" s="24" t="s">
        <v>560</v>
      </c>
    </row>
    <row r="368" spans="1:3" ht="15.75" x14ac:dyDescent="0.25">
      <c r="B368" s="24" t="s">
        <v>561</v>
      </c>
    </row>
    <row r="369" spans="1:3" ht="15.75" x14ac:dyDescent="0.25">
      <c r="A369" s="25"/>
    </row>
    <row r="370" spans="1:3" ht="15.75" x14ac:dyDescent="0.25">
      <c r="A370" s="25"/>
    </row>
    <row r="372" spans="1:3" ht="15.75" x14ac:dyDescent="0.25">
      <c r="A372" s="33" t="s">
        <v>562</v>
      </c>
    </row>
    <row r="373" spans="1:3" ht="15.75" x14ac:dyDescent="0.25">
      <c r="A373" s="24"/>
    </row>
    <row r="374" spans="1:3" ht="15.75" x14ac:dyDescent="0.25">
      <c r="A374" s="25" t="s">
        <v>563</v>
      </c>
    </row>
    <row r="375" spans="1:3" ht="15.75" x14ac:dyDescent="0.25">
      <c r="B375" s="24" t="s">
        <v>564</v>
      </c>
    </row>
    <row r="376" spans="1:3" ht="15.75" x14ac:dyDescent="0.25">
      <c r="B376" s="24" t="s">
        <v>565</v>
      </c>
    </row>
    <row r="377" spans="1:3" ht="15.75" x14ac:dyDescent="0.25">
      <c r="A377" s="24"/>
    </row>
    <row r="378" spans="1:3" ht="15.75" x14ac:dyDescent="0.25">
      <c r="A378" s="33" t="s">
        <v>566</v>
      </c>
    </row>
    <row r="379" spans="1:3" ht="15.75" x14ac:dyDescent="0.25">
      <c r="A379" s="24"/>
    </row>
    <row r="380" spans="1:3" ht="15.75" x14ac:dyDescent="0.25">
      <c r="B380" s="25" t="s">
        <v>567</v>
      </c>
    </row>
    <row r="381" spans="1:3" ht="15.75" x14ac:dyDescent="0.25">
      <c r="B381" s="24" t="s">
        <v>568</v>
      </c>
    </row>
    <row r="382" spans="1:3" ht="15.75" x14ac:dyDescent="0.25">
      <c r="B382" s="24" t="s">
        <v>569</v>
      </c>
    </row>
    <row r="383" spans="1:3" ht="15.75" x14ac:dyDescent="0.25">
      <c r="A383" s="24"/>
    </row>
    <row r="384" spans="1:3" ht="31.5" x14ac:dyDescent="0.2">
      <c r="A384" s="26" t="s">
        <v>570</v>
      </c>
      <c r="B384" s="27" t="s">
        <v>571</v>
      </c>
      <c r="C384" s="27" t="s">
        <v>572</v>
      </c>
    </row>
    <row r="385" spans="1:3" ht="31.5" x14ac:dyDescent="0.2">
      <c r="A385" s="28" t="s">
        <v>573</v>
      </c>
      <c r="B385" s="29" t="s">
        <v>574</v>
      </c>
      <c r="C385" s="29" t="s">
        <v>575</v>
      </c>
    </row>
    <row r="386" spans="1:3" ht="31.5" x14ac:dyDescent="0.2">
      <c r="A386" s="28" t="s">
        <v>576</v>
      </c>
      <c r="B386" s="29" t="s">
        <v>577</v>
      </c>
      <c r="C386" s="29" t="s">
        <v>578</v>
      </c>
    </row>
    <row r="387" spans="1:3" ht="15.75" x14ac:dyDescent="0.2">
      <c r="A387" s="28" t="s">
        <v>579</v>
      </c>
      <c r="B387" s="29" t="s">
        <v>574</v>
      </c>
      <c r="C387" s="29" t="s">
        <v>580</v>
      </c>
    </row>
    <row r="388" spans="1:3" ht="31.5" x14ac:dyDescent="0.2">
      <c r="A388" s="28" t="s">
        <v>581</v>
      </c>
      <c r="B388" s="29" t="s">
        <v>582</v>
      </c>
      <c r="C388" s="29" t="s">
        <v>583</v>
      </c>
    </row>
    <row r="389" spans="1:3" ht="31.5" x14ac:dyDescent="0.2">
      <c r="A389" s="28" t="s">
        <v>584</v>
      </c>
      <c r="B389" s="29" t="s">
        <v>585</v>
      </c>
      <c r="C389" s="29" t="s">
        <v>586</v>
      </c>
    </row>
    <row r="390" spans="1:3" ht="47.25" x14ac:dyDescent="0.2">
      <c r="A390" s="28" t="s">
        <v>587</v>
      </c>
      <c r="B390" s="29" t="s">
        <v>588</v>
      </c>
      <c r="C390" s="29" t="s">
        <v>589</v>
      </c>
    </row>
    <row r="391" spans="1:3" ht="47.25" x14ac:dyDescent="0.2">
      <c r="A391" s="28" t="s">
        <v>590</v>
      </c>
      <c r="B391" s="29" t="s">
        <v>591</v>
      </c>
      <c r="C391" s="29" t="s">
        <v>592</v>
      </c>
    </row>
    <row r="392" spans="1:3" ht="47.25" x14ac:dyDescent="0.2">
      <c r="A392" s="28" t="s">
        <v>593</v>
      </c>
      <c r="B392" s="29" t="s">
        <v>594</v>
      </c>
      <c r="C392" s="29" t="s">
        <v>595</v>
      </c>
    </row>
    <row r="393" spans="1:3" ht="15.75" x14ac:dyDescent="0.25">
      <c r="A393" s="24"/>
    </row>
    <row r="394" spans="1:3" ht="15.75" x14ac:dyDescent="0.25">
      <c r="A394" s="24"/>
    </row>
    <row r="395" spans="1:3" ht="15.75" x14ac:dyDescent="0.25">
      <c r="A395" s="33" t="s">
        <v>596</v>
      </c>
    </row>
    <row r="396" spans="1:3" ht="15.75" x14ac:dyDescent="0.25">
      <c r="A396" s="25"/>
    </row>
    <row r="397" spans="1:3" ht="15.75" x14ac:dyDescent="0.25">
      <c r="A397" s="25" t="s">
        <v>563</v>
      </c>
    </row>
    <row r="398" spans="1:3" ht="15.75" x14ac:dyDescent="0.25">
      <c r="B398" s="24" t="s">
        <v>597</v>
      </c>
    </row>
    <row r="399" spans="1:3" ht="15.75" x14ac:dyDescent="0.25">
      <c r="A399" s="24"/>
    </row>
  </sheetData>
  <mergeCells count="18">
    <mergeCell ref="H18:T18"/>
    <mergeCell ref="H7:T7"/>
    <mergeCell ref="H8:T8"/>
    <mergeCell ref="H9:T9"/>
    <mergeCell ref="H10:T10"/>
    <mergeCell ref="H11:T11"/>
    <mergeCell ref="H12:T12"/>
    <mergeCell ref="H13:T13"/>
    <mergeCell ref="H14:T14"/>
    <mergeCell ref="H15:T15"/>
    <mergeCell ref="H16:T16"/>
    <mergeCell ref="H17:T17"/>
    <mergeCell ref="H6:T6"/>
    <mergeCell ref="H1:T1"/>
    <mergeCell ref="H2:T2"/>
    <mergeCell ref="H3:T3"/>
    <mergeCell ref="H4:T4"/>
    <mergeCell ref="H5:T5"/>
  </mergeCells>
  <phoneticPr fontId="0"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C4:G26"/>
  <sheetViews>
    <sheetView showGridLines="0" showRowColHeaders="0" workbookViewId="0">
      <selection activeCell="C6" sqref="C6:G6"/>
    </sheetView>
  </sheetViews>
  <sheetFormatPr defaultRowHeight="12.75" x14ac:dyDescent="0.2"/>
  <sheetData>
    <row r="4" spans="3:7" ht="13.5" thickBot="1" x14ac:dyDescent="0.25"/>
    <row r="5" spans="3:7" x14ac:dyDescent="0.2">
      <c r="C5" s="162"/>
      <c r="D5" s="163"/>
      <c r="E5" s="163"/>
      <c r="F5" s="163"/>
      <c r="G5" s="164"/>
    </row>
    <row r="6" spans="3:7" ht="20.25" customHeight="1" x14ac:dyDescent="0.2">
      <c r="C6" s="264" t="s">
        <v>798</v>
      </c>
      <c r="D6" s="265"/>
      <c r="E6" s="265"/>
      <c r="F6" s="265"/>
      <c r="G6" s="266"/>
    </row>
    <row r="7" spans="3:7" x14ac:dyDescent="0.2">
      <c r="C7" s="165"/>
      <c r="D7" s="49"/>
      <c r="E7" s="49"/>
      <c r="F7" s="49"/>
      <c r="G7" s="166"/>
    </row>
    <row r="8" spans="3:7" x14ac:dyDescent="0.2">
      <c r="C8" s="165"/>
      <c r="D8" s="49"/>
      <c r="E8" s="49"/>
      <c r="F8" s="49"/>
      <c r="G8" s="166"/>
    </row>
    <row r="9" spans="3:7" x14ac:dyDescent="0.2">
      <c r="C9" s="165"/>
      <c r="D9" s="49"/>
      <c r="E9" s="49"/>
      <c r="F9" s="49"/>
      <c r="G9" s="166"/>
    </row>
    <row r="10" spans="3:7" x14ac:dyDescent="0.2">
      <c r="C10" s="165"/>
      <c r="D10" s="49"/>
      <c r="E10" s="49"/>
      <c r="F10" s="49"/>
      <c r="G10" s="166"/>
    </row>
    <row r="11" spans="3:7" x14ac:dyDescent="0.2">
      <c r="C11" s="165"/>
      <c r="D11" s="49"/>
      <c r="E11" s="49"/>
      <c r="F11" s="49"/>
      <c r="G11" s="166"/>
    </row>
    <row r="12" spans="3:7" x14ac:dyDescent="0.2">
      <c r="C12" s="165"/>
      <c r="D12" s="49"/>
      <c r="E12" s="49"/>
      <c r="F12" s="49"/>
      <c r="G12" s="166"/>
    </row>
    <row r="13" spans="3:7" x14ac:dyDescent="0.2">
      <c r="C13" s="165"/>
      <c r="D13" s="49"/>
      <c r="E13" s="49"/>
      <c r="F13" s="49"/>
      <c r="G13" s="166"/>
    </row>
    <row r="14" spans="3:7" x14ac:dyDescent="0.2">
      <c r="C14" s="165"/>
      <c r="D14" s="49"/>
      <c r="E14" s="49"/>
      <c r="F14" s="49"/>
      <c r="G14" s="166"/>
    </row>
    <row r="15" spans="3:7" x14ac:dyDescent="0.2">
      <c r="C15" s="165"/>
      <c r="D15" s="49"/>
      <c r="E15" s="49"/>
      <c r="F15" s="49"/>
      <c r="G15" s="166"/>
    </row>
    <row r="16" spans="3:7" x14ac:dyDescent="0.2">
      <c r="C16" s="165"/>
      <c r="D16" s="49"/>
      <c r="E16" s="49"/>
      <c r="F16" s="49"/>
      <c r="G16" s="166"/>
    </row>
    <row r="17" spans="3:7" x14ac:dyDescent="0.2">
      <c r="C17" s="165"/>
      <c r="D17" s="49"/>
      <c r="E17" s="49"/>
      <c r="F17" s="49"/>
      <c r="G17" s="166"/>
    </row>
    <row r="18" spans="3:7" x14ac:dyDescent="0.2">
      <c r="C18" s="165"/>
      <c r="D18" s="49"/>
      <c r="E18" s="49"/>
      <c r="F18" s="49"/>
      <c r="G18" s="166"/>
    </row>
    <row r="19" spans="3:7" x14ac:dyDescent="0.2">
      <c r="C19" s="165"/>
      <c r="D19" s="49"/>
      <c r="E19" s="49"/>
      <c r="F19" s="49"/>
      <c r="G19" s="166"/>
    </row>
    <row r="20" spans="3:7" x14ac:dyDescent="0.2">
      <c r="C20" s="165"/>
      <c r="D20" s="49"/>
      <c r="E20" s="49"/>
      <c r="F20" s="49"/>
      <c r="G20" s="166"/>
    </row>
    <row r="21" spans="3:7" x14ac:dyDescent="0.2">
      <c r="C21" s="165"/>
      <c r="D21" s="49"/>
      <c r="E21" s="49"/>
      <c r="F21" s="49"/>
      <c r="G21" s="166"/>
    </row>
    <row r="22" spans="3:7" x14ac:dyDescent="0.2">
      <c r="C22" s="165"/>
      <c r="D22" s="49"/>
      <c r="E22" s="49"/>
      <c r="F22" s="49"/>
      <c r="G22" s="166"/>
    </row>
    <row r="23" spans="3:7" x14ac:dyDescent="0.2">
      <c r="C23" s="165"/>
      <c r="D23" s="49"/>
      <c r="E23" s="49"/>
      <c r="F23" s="49"/>
      <c r="G23" s="166"/>
    </row>
    <row r="24" spans="3:7" x14ac:dyDescent="0.2">
      <c r="C24" s="165"/>
      <c r="D24" s="49"/>
      <c r="E24" s="49"/>
      <c r="F24" s="49"/>
      <c r="G24" s="166"/>
    </row>
    <row r="25" spans="3:7" x14ac:dyDescent="0.2">
      <c r="C25" s="165"/>
      <c r="D25" s="49"/>
      <c r="E25" s="49"/>
      <c r="F25" s="49"/>
      <c r="G25" s="166"/>
    </row>
    <row r="26" spans="3:7" ht="13.5" thickBot="1" x14ac:dyDescent="0.25">
      <c r="C26" s="167"/>
      <c r="D26" s="168"/>
      <c r="E26" s="168"/>
      <c r="F26" s="168"/>
      <c r="G26" s="169"/>
    </row>
  </sheetData>
  <mergeCells count="1">
    <mergeCell ref="C6:G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Check Box 1">
              <controlPr defaultSize="0" autoFill="0" autoLine="0" autoPict="0">
                <anchor moveWithCells="1" sizeWithCells="1">
                  <from>
                    <xdr:col>2</xdr:col>
                    <xdr:colOff>142875</xdr:colOff>
                    <xdr:row>7</xdr:row>
                    <xdr:rowOff>47625</xdr:rowOff>
                  </from>
                  <to>
                    <xdr:col>5</xdr:col>
                    <xdr:colOff>133350</xdr:colOff>
                    <xdr:row>8</xdr:row>
                    <xdr:rowOff>104775</xdr:rowOff>
                  </to>
                </anchor>
              </controlPr>
            </control>
          </mc:Choice>
        </mc:AlternateContent>
        <mc:AlternateContent xmlns:mc="http://schemas.openxmlformats.org/markup-compatibility/2006">
          <mc:Choice Requires="x14">
            <control shapeId="19458" r:id="rId4" name="Check Box 2">
              <controlPr defaultSize="0" autoFill="0" autoLine="0" autoPict="0">
                <anchor moveWithCells="1" sizeWithCells="1">
                  <from>
                    <xdr:col>2</xdr:col>
                    <xdr:colOff>142875</xdr:colOff>
                    <xdr:row>8</xdr:row>
                    <xdr:rowOff>142875</xdr:rowOff>
                  </from>
                  <to>
                    <xdr:col>5</xdr:col>
                    <xdr:colOff>133350</xdr:colOff>
                    <xdr:row>10</xdr:row>
                    <xdr:rowOff>38100</xdr:rowOff>
                  </to>
                </anchor>
              </controlPr>
            </control>
          </mc:Choice>
        </mc:AlternateContent>
        <mc:AlternateContent xmlns:mc="http://schemas.openxmlformats.org/markup-compatibility/2006">
          <mc:Choice Requires="x14">
            <control shapeId="19459" r:id="rId5" name="Check Box 3">
              <controlPr defaultSize="0" autoFill="0" autoLine="0" autoPict="0">
                <anchor moveWithCells="1" sizeWithCells="1">
                  <from>
                    <xdr:col>2</xdr:col>
                    <xdr:colOff>142875</xdr:colOff>
                    <xdr:row>10</xdr:row>
                    <xdr:rowOff>85725</xdr:rowOff>
                  </from>
                  <to>
                    <xdr:col>5</xdr:col>
                    <xdr:colOff>133350</xdr:colOff>
                    <xdr:row>11</xdr:row>
                    <xdr:rowOff>142875</xdr:rowOff>
                  </to>
                </anchor>
              </controlPr>
            </control>
          </mc:Choice>
        </mc:AlternateContent>
        <mc:AlternateContent xmlns:mc="http://schemas.openxmlformats.org/markup-compatibility/2006">
          <mc:Choice Requires="x14">
            <control shapeId="19460" r:id="rId6" name="Check Box 4">
              <controlPr defaultSize="0" autoFill="0" autoLine="0" autoPict="0">
                <anchor moveWithCells="1" sizeWithCells="1">
                  <from>
                    <xdr:col>2</xdr:col>
                    <xdr:colOff>142875</xdr:colOff>
                    <xdr:row>20</xdr:row>
                    <xdr:rowOff>38100</xdr:rowOff>
                  </from>
                  <to>
                    <xdr:col>5</xdr:col>
                    <xdr:colOff>581025</xdr:colOff>
                    <xdr:row>21</xdr:row>
                    <xdr:rowOff>95250</xdr:rowOff>
                  </to>
                </anchor>
              </controlPr>
            </control>
          </mc:Choice>
        </mc:AlternateContent>
        <mc:AlternateContent xmlns:mc="http://schemas.openxmlformats.org/markup-compatibility/2006">
          <mc:Choice Requires="x14">
            <control shapeId="19461" r:id="rId7" name="Check Box 5">
              <controlPr defaultSize="0" autoFill="0" autoLine="0" autoPict="0">
                <anchor moveWithCells="1" sizeWithCells="1">
                  <from>
                    <xdr:col>2</xdr:col>
                    <xdr:colOff>142875</xdr:colOff>
                    <xdr:row>12</xdr:row>
                    <xdr:rowOff>19050</xdr:rowOff>
                  </from>
                  <to>
                    <xdr:col>5</xdr:col>
                    <xdr:colOff>333375</xdr:colOff>
                    <xdr:row>13</xdr:row>
                    <xdr:rowOff>76200</xdr:rowOff>
                  </to>
                </anchor>
              </controlPr>
            </control>
          </mc:Choice>
        </mc:AlternateContent>
        <mc:AlternateContent xmlns:mc="http://schemas.openxmlformats.org/markup-compatibility/2006">
          <mc:Choice Requires="x14">
            <control shapeId="19463" r:id="rId8" name="Check Box 7">
              <controlPr defaultSize="0" autoFill="0" autoLine="0" autoPict="0">
                <anchor moveWithCells="1" sizeWithCells="1">
                  <from>
                    <xdr:col>2</xdr:col>
                    <xdr:colOff>142875</xdr:colOff>
                    <xdr:row>15</xdr:row>
                    <xdr:rowOff>57150</xdr:rowOff>
                  </from>
                  <to>
                    <xdr:col>5</xdr:col>
                    <xdr:colOff>133350</xdr:colOff>
                    <xdr:row>16</xdr:row>
                    <xdr:rowOff>114300</xdr:rowOff>
                  </to>
                </anchor>
              </controlPr>
            </control>
          </mc:Choice>
        </mc:AlternateContent>
        <mc:AlternateContent xmlns:mc="http://schemas.openxmlformats.org/markup-compatibility/2006">
          <mc:Choice Requires="x14">
            <control shapeId="19464" r:id="rId9" name="Check Box 8">
              <controlPr defaultSize="0" autoFill="0" autoLine="0" autoPict="0">
                <anchor moveWithCells="1" sizeWithCells="1">
                  <from>
                    <xdr:col>2</xdr:col>
                    <xdr:colOff>142875</xdr:colOff>
                    <xdr:row>17</xdr:row>
                    <xdr:rowOff>0</xdr:rowOff>
                  </from>
                  <to>
                    <xdr:col>5</xdr:col>
                    <xdr:colOff>504825</xdr:colOff>
                    <xdr:row>18</xdr:row>
                    <xdr:rowOff>57150</xdr:rowOff>
                  </to>
                </anchor>
              </controlPr>
            </control>
          </mc:Choice>
        </mc:AlternateContent>
        <mc:AlternateContent xmlns:mc="http://schemas.openxmlformats.org/markup-compatibility/2006">
          <mc:Choice Requires="x14">
            <control shapeId="19465" r:id="rId10" name="Check Box 9">
              <controlPr defaultSize="0" autoFill="0" autoLine="0" autoPict="0">
                <anchor moveWithCells="1" sizeWithCells="1">
                  <from>
                    <xdr:col>2</xdr:col>
                    <xdr:colOff>142875</xdr:colOff>
                    <xdr:row>18</xdr:row>
                    <xdr:rowOff>95250</xdr:rowOff>
                  </from>
                  <to>
                    <xdr:col>5</xdr:col>
                    <xdr:colOff>409575</xdr:colOff>
                    <xdr:row>19</xdr:row>
                    <xdr:rowOff>152400</xdr:rowOff>
                  </to>
                </anchor>
              </controlPr>
            </control>
          </mc:Choice>
        </mc:AlternateContent>
        <mc:AlternateContent xmlns:mc="http://schemas.openxmlformats.org/markup-compatibility/2006">
          <mc:Choice Requires="x14">
            <control shapeId="19466" r:id="rId11" name="Check Box 10">
              <controlPr defaultSize="0" autoFill="0" autoLine="0" autoPict="0">
                <anchor moveWithCells="1" sizeWithCells="1">
                  <from>
                    <xdr:col>2</xdr:col>
                    <xdr:colOff>142875</xdr:colOff>
                    <xdr:row>13</xdr:row>
                    <xdr:rowOff>142875</xdr:rowOff>
                  </from>
                  <to>
                    <xdr:col>5</xdr:col>
                    <xdr:colOff>581025</xdr:colOff>
                    <xdr:row>15</xdr:row>
                    <xdr:rowOff>38100</xdr:rowOff>
                  </to>
                </anchor>
              </controlPr>
            </control>
          </mc:Choice>
        </mc:AlternateContent>
        <mc:AlternateContent xmlns:mc="http://schemas.openxmlformats.org/markup-compatibility/2006">
          <mc:Choice Requires="x14">
            <control shapeId="19468" r:id="rId12" name="Check Box 12">
              <controlPr defaultSize="0" autoFill="0" autoLine="0" autoPict="0" altText="Large Time Display (Should be off)">
                <anchor moveWithCells="1" sizeWithCells="1">
                  <from>
                    <xdr:col>3</xdr:col>
                    <xdr:colOff>152400</xdr:colOff>
                    <xdr:row>197</xdr:row>
                    <xdr:rowOff>123825</xdr:rowOff>
                  </from>
                  <to>
                    <xdr:col>6</xdr:col>
                    <xdr:colOff>142875</xdr:colOff>
                    <xdr:row>199</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D30"/>
  <sheetViews>
    <sheetView showGridLines="0" workbookViewId="0">
      <selection activeCell="B3" sqref="B3"/>
    </sheetView>
  </sheetViews>
  <sheetFormatPr defaultRowHeight="15" x14ac:dyDescent="0.25"/>
  <cols>
    <col min="1" max="1" width="11.5703125" style="132" customWidth="1"/>
    <col min="2" max="2" width="46.140625" style="132" customWidth="1"/>
    <col min="3" max="3" width="27.28515625" style="132" bestFit="1" customWidth="1"/>
    <col min="4" max="4" width="60" style="132" bestFit="1" customWidth="1"/>
    <col min="5" max="5" width="35.85546875" style="132" bestFit="1" customWidth="1"/>
    <col min="6" max="6" width="30" style="132" customWidth="1"/>
    <col min="7" max="7" width="60.42578125" style="132" customWidth="1"/>
    <col min="8" max="16384" width="9.140625" style="132"/>
  </cols>
  <sheetData>
    <row r="1" spans="1:4" s="130" customFormat="1" ht="15.75" x14ac:dyDescent="0.2">
      <c r="B1" s="134" t="s">
        <v>755</v>
      </c>
    </row>
    <row r="2" spans="1:4" s="130" customFormat="1" x14ac:dyDescent="0.2"/>
    <row r="3" spans="1:4" s="130" customFormat="1" x14ac:dyDescent="0.2">
      <c r="B3" s="133" t="s">
        <v>777</v>
      </c>
    </row>
    <row r="4" spans="1:4" s="130" customFormat="1" ht="21" customHeight="1" x14ac:dyDescent="0.2">
      <c r="B4" s="133" t="s">
        <v>754</v>
      </c>
    </row>
    <row r="5" spans="1:4" s="130" customFormat="1" x14ac:dyDescent="0.2">
      <c r="B5" s="267" t="s">
        <v>787</v>
      </c>
      <c r="C5" s="267"/>
    </row>
    <row r="6" spans="1:4" s="130" customFormat="1" ht="15.75" thickBot="1" x14ac:dyDescent="0.25"/>
    <row r="7" spans="1:4" s="130" customFormat="1" ht="25.5" customHeight="1" thickBot="1" x14ac:dyDescent="0.25">
      <c r="A7" s="142" t="s">
        <v>786</v>
      </c>
      <c r="B7" s="144" t="s">
        <v>762</v>
      </c>
      <c r="C7" s="143" t="s">
        <v>763</v>
      </c>
      <c r="D7" s="143" t="s">
        <v>770</v>
      </c>
    </row>
    <row r="8" spans="1:4" s="131" customFormat="1" ht="25.5" customHeight="1" x14ac:dyDescent="0.2">
      <c r="A8" s="145">
        <v>0</v>
      </c>
      <c r="B8" s="146" t="s">
        <v>781</v>
      </c>
      <c r="C8" s="147" t="s">
        <v>778</v>
      </c>
      <c r="D8" s="147" t="s">
        <v>782</v>
      </c>
    </row>
    <row r="9" spans="1:4" s="131" customFormat="1" ht="25.5" customHeight="1" x14ac:dyDescent="0.2">
      <c r="A9" s="141">
        <v>1</v>
      </c>
      <c r="B9" s="152" t="s">
        <v>756</v>
      </c>
      <c r="C9" s="138" t="s">
        <v>764</v>
      </c>
      <c r="D9" s="153" t="s">
        <v>771</v>
      </c>
    </row>
    <row r="10" spans="1:4" s="131" customFormat="1" ht="25.5" customHeight="1" x14ac:dyDescent="0.2">
      <c r="A10" s="141">
        <v>2</v>
      </c>
      <c r="B10" s="152" t="s">
        <v>757</v>
      </c>
      <c r="C10" s="139" t="s">
        <v>765</v>
      </c>
      <c r="D10" s="154" t="s">
        <v>772</v>
      </c>
    </row>
    <row r="11" spans="1:4" s="131" customFormat="1" ht="25.5" customHeight="1" x14ac:dyDescent="0.2">
      <c r="A11" s="141">
        <v>3</v>
      </c>
      <c r="B11" s="152" t="s">
        <v>758</v>
      </c>
      <c r="C11" s="139" t="s">
        <v>766</v>
      </c>
      <c r="D11" s="154" t="s">
        <v>773</v>
      </c>
    </row>
    <row r="12" spans="1:4" s="131" customFormat="1" ht="25.5" customHeight="1" x14ac:dyDescent="0.2">
      <c r="A12" s="141">
        <v>4</v>
      </c>
      <c r="B12" s="152" t="s">
        <v>759</v>
      </c>
      <c r="C12" s="139" t="s">
        <v>767</v>
      </c>
      <c r="D12" s="154" t="s">
        <v>774</v>
      </c>
    </row>
    <row r="13" spans="1:4" s="131" customFormat="1" ht="25.5" customHeight="1" x14ac:dyDescent="0.2">
      <c r="A13" s="141">
        <v>5</v>
      </c>
      <c r="B13" s="152" t="s">
        <v>760</v>
      </c>
      <c r="C13" s="139" t="s">
        <v>768</v>
      </c>
      <c r="D13" s="154" t="s">
        <v>775</v>
      </c>
    </row>
    <row r="14" spans="1:4" s="131" customFormat="1" ht="25.5" customHeight="1" x14ac:dyDescent="0.2">
      <c r="A14" s="141">
        <v>6</v>
      </c>
      <c r="B14" s="152" t="s">
        <v>761</v>
      </c>
      <c r="C14" s="139" t="s">
        <v>769</v>
      </c>
      <c r="D14" s="154" t="s">
        <v>776</v>
      </c>
    </row>
    <row r="15" spans="1:4" s="130" customFormat="1" ht="25.5" customHeight="1" x14ac:dyDescent="0.2"/>
    <row r="16" spans="1:4" s="130" customFormat="1" ht="25.5" customHeight="1" thickBot="1" x14ac:dyDescent="0.25">
      <c r="C16" s="151"/>
    </row>
    <row r="17" spans="1:4" s="130" customFormat="1" ht="25.5" customHeight="1" thickBot="1" x14ac:dyDescent="0.25">
      <c r="A17" s="142" t="s">
        <v>786</v>
      </c>
      <c r="B17" s="144" t="s">
        <v>779</v>
      </c>
      <c r="C17" s="144" t="s">
        <v>783</v>
      </c>
      <c r="D17" s="144" t="s">
        <v>780</v>
      </c>
    </row>
    <row r="18" spans="1:4" s="130" customFormat="1" ht="25.5" customHeight="1" x14ac:dyDescent="0.2">
      <c r="A18" s="145">
        <v>0</v>
      </c>
      <c r="B18" s="146" t="str">
        <f t="shared" ref="B18:B24" si="0">"C:\Users\"&amp;C8&amp;"\Desktop"</f>
        <v>C:\Users\DSPCon\Desktop</v>
      </c>
      <c r="C18" s="146" t="s">
        <v>784</v>
      </c>
      <c r="D18" s="146" t="str">
        <f t="shared" ref="D18:D24" si="1">B8 &amp; "\Plotworkspace"</f>
        <v>C:\Program Files (x86)\DSPCon Piranha-III DAW\Plotworkspace</v>
      </c>
    </row>
    <row r="19" spans="1:4" s="130" customFormat="1" ht="25.5" customHeight="1" x14ac:dyDescent="0.2">
      <c r="A19" s="141">
        <v>1</v>
      </c>
      <c r="B19" s="137" t="str">
        <f t="shared" si="0"/>
        <v>C:\Users\Engineer1\Desktop</v>
      </c>
      <c r="C19" s="135" t="s">
        <v>784</v>
      </c>
      <c r="D19" s="136" t="str">
        <f t="shared" si="1"/>
        <v>C:\Program Files (x86)\MSD1\Plotworkspace</v>
      </c>
    </row>
    <row r="20" spans="1:4" s="130" customFormat="1" ht="25.5" customHeight="1" x14ac:dyDescent="0.2">
      <c r="A20" s="141">
        <v>2</v>
      </c>
      <c r="B20" s="137" t="str">
        <f t="shared" si="0"/>
        <v>C:\Users\Engineer2\Desktop</v>
      </c>
      <c r="C20" s="135" t="s">
        <v>784</v>
      </c>
      <c r="D20" s="136" t="str">
        <f t="shared" si="1"/>
        <v>C:\Program Files (x86)\MSD2\Plotworkspace</v>
      </c>
    </row>
    <row r="21" spans="1:4" s="130" customFormat="1" ht="25.5" customHeight="1" x14ac:dyDescent="0.2">
      <c r="A21" s="141">
        <v>3</v>
      </c>
      <c r="B21" s="137" t="str">
        <f t="shared" si="0"/>
        <v>C:\Users\Engineer3\Desktop</v>
      </c>
      <c r="C21" s="135" t="s">
        <v>784</v>
      </c>
      <c r="D21" s="136" t="str">
        <f t="shared" si="1"/>
        <v>C:\Program Files (x86)\MSD3\Plotworkspace</v>
      </c>
    </row>
    <row r="22" spans="1:4" s="130" customFormat="1" ht="25.5" customHeight="1" x14ac:dyDescent="0.2">
      <c r="A22" s="141">
        <v>4</v>
      </c>
      <c r="B22" s="137" t="str">
        <f t="shared" si="0"/>
        <v>C:\Users\Engineer4\Desktop</v>
      </c>
      <c r="C22" s="135" t="s">
        <v>784</v>
      </c>
      <c r="D22" s="136" t="str">
        <f t="shared" si="1"/>
        <v>C:\Program Files (x86)\MSD4\Plotworkspace</v>
      </c>
    </row>
    <row r="23" spans="1:4" s="130" customFormat="1" ht="25.5" customHeight="1" x14ac:dyDescent="0.2">
      <c r="A23" s="141">
        <v>5</v>
      </c>
      <c r="B23" s="137" t="str">
        <f t="shared" si="0"/>
        <v>C:\Users\Engineer5\Desktop</v>
      </c>
      <c r="C23" s="135" t="s">
        <v>784</v>
      </c>
      <c r="D23" s="136" t="str">
        <f t="shared" si="1"/>
        <v>C:\Program Files (x86)\MSD5\Plotworkspace</v>
      </c>
    </row>
    <row r="24" spans="1:4" s="130" customFormat="1" ht="25.5" customHeight="1" x14ac:dyDescent="0.2">
      <c r="A24" s="141">
        <v>6</v>
      </c>
      <c r="B24" s="137" t="str">
        <f t="shared" si="0"/>
        <v>C:\Users\Engineer6\Desktop</v>
      </c>
      <c r="C24" s="135" t="s">
        <v>784</v>
      </c>
      <c r="D24" s="137" t="str">
        <f t="shared" si="1"/>
        <v>C:\Program Files (x86)\MSD6\Plotworkspace</v>
      </c>
    </row>
    <row r="25" spans="1:4" s="130" customFormat="1" x14ac:dyDescent="0.2">
      <c r="C25" s="185" t="s">
        <v>814</v>
      </c>
    </row>
    <row r="26" spans="1:4" s="130" customFormat="1" x14ac:dyDescent="0.2"/>
    <row r="27" spans="1:4" s="130" customFormat="1" x14ac:dyDescent="0.2"/>
    <row r="28" spans="1:4" s="130" customFormat="1" x14ac:dyDescent="0.2"/>
    <row r="29" spans="1:4" s="130" customFormat="1" x14ac:dyDescent="0.2"/>
    <row r="30" spans="1:4" s="130" customFormat="1" x14ac:dyDescent="0.2"/>
  </sheetData>
  <mergeCells count="1">
    <mergeCell ref="B5:C5"/>
  </mergeCells>
  <pageMargins left="0.25" right="0.25" top="0.75" bottom="0.75" header="0.3" footer="0.3"/>
  <pageSetup scale="9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8"/>
  <sheetViews>
    <sheetView workbookViewId="0">
      <selection activeCell="A42" sqref="A42"/>
    </sheetView>
  </sheetViews>
  <sheetFormatPr defaultRowHeight="12.75" x14ac:dyDescent="0.2"/>
  <cols>
    <col min="1" max="1" width="34.85546875" bestFit="1" customWidth="1"/>
  </cols>
  <sheetData>
    <row r="1" spans="1:2" x14ac:dyDescent="0.2">
      <c r="A1" s="23" t="s">
        <v>2</v>
      </c>
    </row>
    <row r="2" spans="1:2" x14ac:dyDescent="0.2">
      <c r="A2" s="1" t="s">
        <v>287</v>
      </c>
    </row>
    <row r="3" spans="1:2" x14ac:dyDescent="0.2">
      <c r="A3" s="1"/>
      <c r="B3" t="s">
        <v>247</v>
      </c>
    </row>
    <row r="4" spans="1:2" x14ac:dyDescent="0.2">
      <c r="A4" s="23" t="s">
        <v>6</v>
      </c>
    </row>
    <row r="5" spans="1:2" x14ac:dyDescent="0.2">
      <c r="A5" s="2" t="str">
        <f>"host="&amp;VLOOKUP(pod,pod_table,2,FALSE)</f>
        <v>host=127.0.0.1</v>
      </c>
    </row>
    <row r="6" spans="1:2" x14ac:dyDescent="0.2">
      <c r="A6" s="1" t="s">
        <v>288</v>
      </c>
    </row>
    <row r="7" spans="1:2" x14ac:dyDescent="0.2">
      <c r="A7" s="1"/>
    </row>
    <row r="8" spans="1:2" x14ac:dyDescent="0.2">
      <c r="A8" s="23" t="s">
        <v>7</v>
      </c>
    </row>
    <row r="9" spans="1:2" x14ac:dyDescent="0.2">
      <c r="A9" s="2" t="str">
        <f>"host="&amp;VLOOKUP(pod,pod_table,2,FALSE)</f>
        <v>host=127.0.0.1</v>
      </c>
    </row>
    <row r="10" spans="1:2" x14ac:dyDescent="0.2">
      <c r="A10" s="1" t="s">
        <v>289</v>
      </c>
    </row>
    <row r="11" spans="1:2" x14ac:dyDescent="0.2">
      <c r="A11" s="1" t="s">
        <v>8</v>
      </c>
    </row>
    <row r="12" spans="1:2" x14ac:dyDescent="0.2">
      <c r="A12" s="1"/>
    </row>
    <row r="13" spans="1:2" x14ac:dyDescent="0.2">
      <c r="A13" s="23" t="s">
        <v>9</v>
      </c>
    </row>
    <row r="14" spans="1:2" x14ac:dyDescent="0.2">
      <c r="A14" s="2" t="str">
        <f>"host="&amp;VLOOKUP(pod,pod_table,2,FALSE)</f>
        <v>host=127.0.0.1</v>
      </c>
    </row>
    <row r="15" spans="1:2" x14ac:dyDescent="0.2">
      <c r="A15" s="1" t="s">
        <v>290</v>
      </c>
    </row>
    <row r="16" spans="1:2" x14ac:dyDescent="0.2">
      <c r="A16" s="1" t="s">
        <v>291</v>
      </c>
    </row>
    <row r="17" spans="1:1" x14ac:dyDescent="0.2">
      <c r="A17" s="1"/>
    </row>
    <row r="18" spans="1:1" x14ac:dyDescent="0.2">
      <c r="A18" s="10" t="str">
        <f>"# Monitoring POD - "&amp;pod</f>
        <v># Monitoring POD - This Server</v>
      </c>
    </row>
  </sheetData>
  <phoneticPr fontId="0" type="noConversion"/>
  <pageMargins left="0.75" right="0.75" top="1" bottom="1" header="0.5" footer="0.5"/>
  <pageSetup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6"/>
  <sheetViews>
    <sheetView workbookViewId="0">
      <selection activeCell="A4" sqref="A4"/>
    </sheetView>
  </sheetViews>
  <sheetFormatPr defaultRowHeight="12.75" x14ac:dyDescent="0.2"/>
  <cols>
    <col min="1" max="1" width="35.28515625" customWidth="1"/>
  </cols>
  <sheetData>
    <row r="1" spans="1:2" x14ac:dyDescent="0.2">
      <c r="A1" s="1" t="s">
        <v>11</v>
      </c>
    </row>
    <row r="2" spans="1:2" x14ac:dyDescent="0.2">
      <c r="B2" s="114" t="s">
        <v>247</v>
      </c>
    </row>
    <row r="3" spans="1:2" x14ac:dyDescent="0.2">
      <c r="A3" s="2" t="str">
        <f>"0x40000101="&amp;VLOOKUP(pod,pod_table,3,FALSE)&amp;":0x40000001"</f>
        <v>0x40000101=127.0.0.1:0x40000001</v>
      </c>
    </row>
    <row r="4" spans="1:2" x14ac:dyDescent="0.2">
      <c r="A4" s="2" t="str">
        <f>"0x40000100="&amp;VLOOKUP(pod,pod_table,3,FALSE)&amp;":0x40000000"</f>
        <v>0x40000100=127.0.0.1:0x40000000</v>
      </c>
    </row>
    <row r="6" spans="1:2" x14ac:dyDescent="0.2">
      <c r="A6" t="str">
        <f>"# Monitoring POD: "&amp; pod</f>
        <v># Monitoring POD: This Server</v>
      </c>
    </row>
  </sheetData>
  <phoneticPr fontId="0" type="noConversion"/>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19"/>
  <sheetViews>
    <sheetView workbookViewId="0">
      <selection activeCell="A32" sqref="A32"/>
    </sheetView>
  </sheetViews>
  <sheetFormatPr defaultRowHeight="12.75" x14ac:dyDescent="0.2"/>
  <cols>
    <col min="1" max="1" width="26.5703125" customWidth="1"/>
  </cols>
  <sheetData>
    <row r="1" spans="1:2" s="10" customFormat="1" x14ac:dyDescent="0.2">
      <c r="A1" s="10" t="s">
        <v>818</v>
      </c>
    </row>
    <row r="2" spans="1:2" x14ac:dyDescent="0.2">
      <c r="A2" s="114" t="s">
        <v>827</v>
      </c>
    </row>
    <row r="3" spans="1:2" x14ac:dyDescent="0.2">
      <c r="B3" s="114" t="s">
        <v>247</v>
      </c>
    </row>
    <row r="4" spans="1:2" x14ac:dyDescent="0.2">
      <c r="A4" s="10" t="s">
        <v>819</v>
      </c>
    </row>
    <row r="5" spans="1:2" x14ac:dyDescent="0.2">
      <c r="A5" s="114" t="s">
        <v>827</v>
      </c>
    </row>
    <row r="7" spans="1:2" x14ac:dyDescent="0.2">
      <c r="A7" s="10" t="s">
        <v>820</v>
      </c>
    </row>
    <row r="8" spans="1:2" x14ac:dyDescent="0.2">
      <c r="A8" s="114" t="s">
        <v>827</v>
      </c>
    </row>
    <row r="10" spans="1:2" x14ac:dyDescent="0.2">
      <c r="A10" s="10" t="s">
        <v>821</v>
      </c>
    </row>
    <row r="11" spans="1:2" x14ac:dyDescent="0.2">
      <c r="A11" t="s">
        <v>822</v>
      </c>
    </row>
    <row r="13" spans="1:2" x14ac:dyDescent="0.2">
      <c r="A13" s="10" t="s">
        <v>823</v>
      </c>
    </row>
    <row r="14" spans="1:2" x14ac:dyDescent="0.2">
      <c r="A14" t="s">
        <v>824</v>
      </c>
    </row>
    <row r="15" spans="1:2" x14ac:dyDescent="0.2">
      <c r="A15" t="s">
        <v>825</v>
      </c>
    </row>
    <row r="16" spans="1:2" x14ac:dyDescent="0.2">
      <c r="A16" s="201" t="s">
        <v>837</v>
      </c>
    </row>
    <row r="17" spans="1:1" x14ac:dyDescent="0.2">
      <c r="A17" t="s">
        <v>826</v>
      </c>
    </row>
    <row r="19" spans="1:1" x14ac:dyDescent="0.2">
      <c r="A19" s="10" t="str">
        <f>"# Monitoring POD - "&amp;pod</f>
        <v># Monitoring POD - This Server</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M670"/>
  <sheetViews>
    <sheetView workbookViewId="0">
      <selection activeCell="A22" sqref="A22"/>
    </sheetView>
  </sheetViews>
  <sheetFormatPr defaultRowHeight="12.75" x14ac:dyDescent="0.2"/>
  <cols>
    <col min="1" max="1" width="82.42578125" customWidth="1"/>
    <col min="2" max="2" width="3.7109375" style="17" customWidth="1"/>
    <col min="3" max="3" width="10.85546875" style="17" customWidth="1"/>
    <col min="4" max="4" width="9.140625" style="17"/>
    <col min="5" max="5" width="49.42578125" style="3" customWidth="1"/>
    <col min="6" max="6" width="11.28515625" bestFit="1" customWidth="1"/>
    <col min="7" max="7" width="3" customWidth="1"/>
    <col min="8" max="8" width="12.85546875" customWidth="1"/>
    <col min="9" max="9" width="10.7109375" customWidth="1"/>
  </cols>
  <sheetData>
    <row r="1" spans="1:10" x14ac:dyDescent="0.2">
      <c r="A1" t="s">
        <v>22</v>
      </c>
      <c r="B1" s="99" t="s">
        <v>247</v>
      </c>
      <c r="E1" s="44" t="s">
        <v>598</v>
      </c>
      <c r="F1" s="44" t="s">
        <v>599</v>
      </c>
      <c r="G1" s="44" t="s">
        <v>603</v>
      </c>
      <c r="H1" s="41" t="s">
        <v>600</v>
      </c>
      <c r="I1" s="42" t="s">
        <v>601</v>
      </c>
      <c r="J1" s="43" t="s">
        <v>602</v>
      </c>
    </row>
    <row r="2" spans="1:10" x14ac:dyDescent="0.2">
      <c r="A2" t="s">
        <v>0</v>
      </c>
      <c r="B2" s="99"/>
    </row>
    <row r="3" spans="1:10" x14ac:dyDescent="0.2">
      <c r="A3" t="s">
        <v>1</v>
      </c>
      <c r="B3" s="99"/>
    </row>
    <row r="4" spans="1:10" x14ac:dyDescent="0.2">
      <c r="A4" t="s">
        <v>23</v>
      </c>
      <c r="B4" s="99"/>
    </row>
    <row r="5" spans="1:10" x14ac:dyDescent="0.2">
      <c r="A5" t="s">
        <v>24</v>
      </c>
      <c r="B5" s="99"/>
    </row>
    <row r="6" spans="1:10" ht="13.5" x14ac:dyDescent="0.25">
      <c r="A6" t="s">
        <v>25</v>
      </c>
      <c r="B6" s="99" t="s">
        <v>247</v>
      </c>
      <c r="E6" s="45">
        <v>16777216</v>
      </c>
      <c r="F6" s="46" t="str">
        <f>"0x"&amp;DEC2HEX(E6,7)</f>
        <v>0x1000000</v>
      </c>
      <c r="G6" s="47"/>
      <c r="H6" s="38" t="str">
        <f>MID(F6,4,2)</f>
        <v>00</v>
      </c>
      <c r="I6" s="39" t="str">
        <f>MID(F6,6,2)</f>
        <v>00</v>
      </c>
      <c r="J6" s="40" t="str">
        <f>RIGHT(F6,2)</f>
        <v>00</v>
      </c>
    </row>
    <row r="7" spans="1:10" ht="13.5" x14ac:dyDescent="0.25">
      <c r="A7" t="s">
        <v>26</v>
      </c>
      <c r="B7" s="99" t="s">
        <v>247</v>
      </c>
      <c r="E7" s="45">
        <v>16113331</v>
      </c>
      <c r="F7" s="46" t="str">
        <f>"0x"&amp;DEC2HEX(E7,7)</f>
        <v>0x0F5DEB3</v>
      </c>
      <c r="G7" s="47"/>
      <c r="H7" s="38" t="str">
        <f>MID(F7,4,2)</f>
        <v>F5</v>
      </c>
      <c r="I7" s="39" t="str">
        <f>MID(F7,6,2)</f>
        <v>DE</v>
      </c>
      <c r="J7" s="40" t="str">
        <f>RIGHT(F7,2)</f>
        <v>B3</v>
      </c>
    </row>
    <row r="8" spans="1:10" x14ac:dyDescent="0.2">
      <c r="A8" t="s">
        <v>247</v>
      </c>
      <c r="B8" s="99" t="s">
        <v>247</v>
      </c>
    </row>
    <row r="9" spans="1:10" x14ac:dyDescent="0.2">
      <c r="A9" t="str">
        <f>"#    Monitoring POD-"&amp;pod</f>
        <v>#    Monitoring POD-This Server</v>
      </c>
      <c r="B9" s="99"/>
    </row>
    <row r="10" spans="1:10" x14ac:dyDescent="0.2">
      <c r="A10" t="s">
        <v>247</v>
      </c>
      <c r="B10" s="99"/>
    </row>
    <row r="11" spans="1:10" x14ac:dyDescent="0.2">
      <c r="A11" t="s">
        <v>2</v>
      </c>
      <c r="B11" s="99"/>
    </row>
    <row r="12" spans="1:10" x14ac:dyDescent="0.2">
      <c r="A12" s="11" t="str">
        <f>"HidePeakStatistic=" &amp; D12</f>
        <v>HidePeakStatistic=TRUE</v>
      </c>
      <c r="B12" s="99"/>
      <c r="D12" s="17" t="b">
        <v>1</v>
      </c>
    </row>
    <row r="13" spans="1:10" x14ac:dyDescent="0.2">
      <c r="A13" t="s">
        <v>27</v>
      </c>
      <c r="B13" s="99"/>
    </row>
    <row r="14" spans="1:10" x14ac:dyDescent="0.2">
      <c r="A14" t="s">
        <v>3</v>
      </c>
      <c r="B14" s="99"/>
    </row>
    <row r="15" spans="1:10" x14ac:dyDescent="0.2">
      <c r="A15" t="s">
        <v>28</v>
      </c>
      <c r="B15" s="99"/>
    </row>
    <row r="16" spans="1:10" x14ac:dyDescent="0.2">
      <c r="A16" t="s">
        <v>29</v>
      </c>
      <c r="B16" s="99"/>
    </row>
    <row r="17" spans="1:4" x14ac:dyDescent="0.2">
      <c r="A17" t="s">
        <v>30</v>
      </c>
      <c r="B17" s="99"/>
    </row>
    <row r="18" spans="1:4" x14ac:dyDescent="0.2">
      <c r="A18" t="s">
        <v>31</v>
      </c>
      <c r="B18" s="99"/>
    </row>
    <row r="19" spans="1:4" x14ac:dyDescent="0.2">
      <c r="A19" t="s">
        <v>32</v>
      </c>
      <c r="B19" s="99"/>
    </row>
    <row r="20" spans="1:4" x14ac:dyDescent="0.2">
      <c r="A20" s="11" t="str">
        <f>"ImageFilePath="&amp;'Display Config'!$H$28</f>
        <v>ImageFilePath=C:\Data\DSPCon\Images\</v>
      </c>
      <c r="B20" s="99"/>
    </row>
    <row r="21" spans="1:4" x14ac:dyDescent="0.2">
      <c r="A21" s="11" t="str">
        <f>"ExportFilePath="&amp;'Display Config'!H29</f>
        <v>ExportFilePath=C:\Data\DSPCon\Data\</v>
      </c>
      <c r="B21" s="99"/>
    </row>
    <row r="22" spans="1:4" x14ac:dyDescent="0.2">
      <c r="A22" s="11" t="str">
        <f>"LargeTimeDisplay="&amp;D22</f>
        <v>LargeTimeDisplay=FALSE</v>
      </c>
      <c r="B22" s="99" t="s">
        <v>247</v>
      </c>
      <c r="D22" s="17" t="b">
        <v>0</v>
      </c>
    </row>
    <row r="23" spans="1:4" x14ac:dyDescent="0.2">
      <c r="A23" t="s">
        <v>292</v>
      </c>
      <c r="B23" s="99"/>
    </row>
    <row r="24" spans="1:4" x14ac:dyDescent="0.2">
      <c r="A24" s="11" t="str">
        <f>"OnExitUpdate="&amp;D24</f>
        <v>OnExitUpdate=FALSE</v>
      </c>
      <c r="B24" s="99" t="s">
        <v>247</v>
      </c>
      <c r="D24" s="17" t="b">
        <v>0</v>
      </c>
    </row>
    <row r="25" spans="1:4" x14ac:dyDescent="0.2">
      <c r="A25" s="11" t="str">
        <f>"UpdatePlotSetOnAllChanges="&amp;D25</f>
        <v>UpdatePlotSetOnAllChanges=FALSE</v>
      </c>
      <c r="B25" s="99" t="s">
        <v>247</v>
      </c>
      <c r="D25" s="17" t="b">
        <v>0</v>
      </c>
    </row>
    <row r="26" spans="1:4" x14ac:dyDescent="0.2">
      <c r="A26" t="s">
        <v>10</v>
      </c>
      <c r="B26" s="99"/>
    </row>
    <row r="27" spans="1:4" x14ac:dyDescent="0.2">
      <c r="A27" t="s">
        <v>33</v>
      </c>
      <c r="B27" s="99"/>
    </row>
    <row r="28" spans="1:4" x14ac:dyDescent="0.2">
      <c r="A28" s="117" t="s">
        <v>745</v>
      </c>
      <c r="B28" s="99"/>
      <c r="D28" s="116"/>
    </row>
    <row r="29" spans="1:4" x14ac:dyDescent="0.2">
      <c r="A29" t="s">
        <v>34</v>
      </c>
      <c r="B29" s="99"/>
    </row>
    <row r="30" spans="1:4" x14ac:dyDescent="0.2">
      <c r="A30" t="s">
        <v>35</v>
      </c>
      <c r="B30" s="99"/>
    </row>
    <row r="31" spans="1:4" x14ac:dyDescent="0.2">
      <c r="A31" s="65" t="s">
        <v>36</v>
      </c>
      <c r="B31" s="99"/>
    </row>
    <row r="32" spans="1:4" x14ac:dyDescent="0.2">
      <c r="A32" s="65" t="s">
        <v>37</v>
      </c>
      <c r="B32" s="99"/>
    </row>
    <row r="33" spans="1:10" x14ac:dyDescent="0.2">
      <c r="A33" t="s">
        <v>38</v>
      </c>
      <c r="B33" s="99"/>
    </row>
    <row r="34" spans="1:10" x14ac:dyDescent="0.2">
      <c r="A34" t="s">
        <v>39</v>
      </c>
      <c r="B34" s="99"/>
    </row>
    <row r="35" spans="1:10" x14ac:dyDescent="0.2">
      <c r="A35" t="s">
        <v>40</v>
      </c>
      <c r="B35" s="99"/>
    </row>
    <row r="36" spans="1:10" x14ac:dyDescent="0.2">
      <c r="A36" t="s">
        <v>41</v>
      </c>
      <c r="B36" s="99"/>
    </row>
    <row r="37" spans="1:10" x14ac:dyDescent="0.2">
      <c r="A37" t="str">
        <f>"User=" &amp; 'Display Config'!$H$6</f>
        <v>User=DSPCon</v>
      </c>
      <c r="B37" s="99"/>
    </row>
    <row r="38" spans="1:10" x14ac:dyDescent="0.2">
      <c r="A38" t="s">
        <v>42</v>
      </c>
      <c r="B38" s="99"/>
    </row>
    <row r="39" spans="1:10" x14ac:dyDescent="0.2">
      <c r="A39" t="s">
        <v>43</v>
      </c>
      <c r="B39" s="99"/>
    </row>
    <row r="40" spans="1:10" x14ac:dyDescent="0.2">
      <c r="A40" t="s">
        <v>44</v>
      </c>
      <c r="B40" s="99"/>
    </row>
    <row r="41" spans="1:10" x14ac:dyDescent="0.2">
      <c r="A41" s="11" t="str">
        <f xml:space="preserve"> "AllowRemote=" &amp; IF($D$41, "True","False")</f>
        <v>AllowRemote=False</v>
      </c>
      <c r="B41" s="99" t="s">
        <v>247</v>
      </c>
      <c r="D41" s="63" t="b">
        <f>'Display Config'!A23</f>
        <v>0</v>
      </c>
    </row>
    <row r="42" spans="1:10" x14ac:dyDescent="0.2">
      <c r="B42" s="99"/>
    </row>
    <row r="43" spans="1:10" x14ac:dyDescent="0.2">
      <c r="A43" t="s">
        <v>45</v>
      </c>
      <c r="B43" s="99"/>
    </row>
    <row r="44" spans="1:10" x14ac:dyDescent="0.2">
      <c r="A44" t="s">
        <v>46</v>
      </c>
      <c r="B44" s="99"/>
    </row>
    <row r="45" spans="1:10" x14ac:dyDescent="0.2">
      <c r="A45" t="s">
        <v>47</v>
      </c>
      <c r="B45" s="99"/>
    </row>
    <row r="46" spans="1:10" x14ac:dyDescent="0.2">
      <c r="A46" t="s">
        <v>48</v>
      </c>
      <c r="B46" s="99"/>
    </row>
    <row r="47" spans="1:10" x14ac:dyDescent="0.2">
      <c r="A47" t="s">
        <v>49</v>
      </c>
      <c r="B47" s="99"/>
      <c r="H47" s="69"/>
      <c r="I47" s="69"/>
      <c r="J47" s="69"/>
    </row>
    <row r="48" spans="1:10" x14ac:dyDescent="0.2">
      <c r="A48" t="s">
        <v>50</v>
      </c>
      <c r="B48" s="99"/>
      <c r="H48" s="69"/>
      <c r="I48" s="69"/>
      <c r="J48" s="69"/>
    </row>
    <row r="49" spans="1:10" x14ac:dyDescent="0.2">
      <c r="A49" t="s">
        <v>51</v>
      </c>
      <c r="B49" s="99"/>
      <c r="H49" s="69"/>
      <c r="I49" s="69"/>
      <c r="J49" s="69"/>
    </row>
    <row r="50" spans="1:10" x14ac:dyDescent="0.2">
      <c r="A50" t="s">
        <v>52</v>
      </c>
      <c r="B50" s="99" t="s">
        <v>247</v>
      </c>
      <c r="E50" s="44"/>
      <c r="F50" s="44"/>
      <c r="G50" s="44"/>
      <c r="H50" s="70"/>
      <c r="I50" s="71"/>
      <c r="J50" s="72"/>
    </row>
    <row r="51" spans="1:10" ht="13.5" x14ac:dyDescent="0.25">
      <c r="A51" t="s">
        <v>53</v>
      </c>
      <c r="B51" s="99" t="s">
        <v>247</v>
      </c>
      <c r="E51" s="45"/>
      <c r="F51" s="46"/>
      <c r="G51" s="47"/>
      <c r="H51" s="73"/>
      <c r="I51" s="73"/>
      <c r="J51" s="73"/>
    </row>
    <row r="52" spans="1:10" ht="13.5" x14ac:dyDescent="0.25">
      <c r="A52" t="s">
        <v>294</v>
      </c>
      <c r="B52" s="99" t="s">
        <v>247</v>
      </c>
      <c r="E52" s="45"/>
      <c r="F52" s="46"/>
      <c r="G52" s="47"/>
      <c r="H52" s="73"/>
      <c r="I52" s="73"/>
      <c r="J52" s="73"/>
    </row>
    <row r="53" spans="1:10" ht="13.5" x14ac:dyDescent="0.25">
      <c r="A53" t="s">
        <v>707</v>
      </c>
      <c r="B53" s="99" t="s">
        <v>247</v>
      </c>
      <c r="E53" s="45">
        <v>65504</v>
      </c>
      <c r="F53" s="46"/>
      <c r="G53" s="47"/>
      <c r="H53" s="73"/>
      <c r="I53" s="73"/>
      <c r="J53" s="73"/>
    </row>
    <row r="54" spans="1:10" x14ac:dyDescent="0.2">
      <c r="A54" s="11" t="str">
        <f>"PlotBGColor="&amp;E54</f>
        <v>PlotBGColor=2631720</v>
      </c>
      <c r="B54" s="99" t="s">
        <v>247</v>
      </c>
      <c r="D54" s="17">
        <v>3</v>
      </c>
      <c r="E54" s="75">
        <f>VLOOKUP(D54,Features!$B$4:$E$8,3,FALSE)</f>
        <v>2631720</v>
      </c>
      <c r="F54" s="75">
        <f>VLOOKUP($D$54,Features!$B$4:$E$8,4,FALSE)</f>
        <v>383838</v>
      </c>
      <c r="G54" s="75"/>
      <c r="H54" s="75" t="str">
        <f>VLOOKUP($D$54,Features!$B$4:$E$8,2,FALSE)</f>
        <v>Basic Black</v>
      </c>
      <c r="I54" s="74"/>
      <c r="J54" s="74"/>
    </row>
    <row r="55" spans="1:10" x14ac:dyDescent="0.2">
      <c r="A55" s="1" t="s">
        <v>277</v>
      </c>
      <c r="B55" s="99" t="s">
        <v>247</v>
      </c>
      <c r="H55" s="69"/>
      <c r="I55" s="69"/>
      <c r="J55" s="69"/>
    </row>
    <row r="56" spans="1:10" x14ac:dyDescent="0.2">
      <c r="A56" t="s">
        <v>54</v>
      </c>
      <c r="B56" s="99" t="s">
        <v>247</v>
      </c>
      <c r="H56" s="69"/>
      <c r="I56" s="69"/>
      <c r="J56" s="69"/>
    </row>
    <row r="57" spans="1:10" x14ac:dyDescent="0.2">
      <c r="A57" t="s">
        <v>55</v>
      </c>
      <c r="B57" s="99" t="s">
        <v>247</v>
      </c>
      <c r="H57" s="69"/>
      <c r="I57" s="69"/>
      <c r="J57" s="69"/>
    </row>
    <row r="58" spans="1:10" x14ac:dyDescent="0.2">
      <c r="A58" t="s">
        <v>56</v>
      </c>
      <c r="B58" s="99" t="s">
        <v>247</v>
      </c>
      <c r="H58" s="3"/>
      <c r="I58" s="3"/>
      <c r="J58" s="3"/>
    </row>
    <row r="59" spans="1:10" x14ac:dyDescent="0.2">
      <c r="A59" t="s">
        <v>57</v>
      </c>
      <c r="B59" s="99" t="s">
        <v>247</v>
      </c>
      <c r="H59" s="3"/>
      <c r="I59" s="3"/>
      <c r="J59" s="3"/>
    </row>
    <row r="60" spans="1:10" x14ac:dyDescent="0.2">
      <c r="A60" t="s">
        <v>58</v>
      </c>
      <c r="B60" s="99"/>
    </row>
    <row r="61" spans="1:10" x14ac:dyDescent="0.2">
      <c r="A61" t="s">
        <v>59</v>
      </c>
      <c r="B61" s="99"/>
    </row>
    <row r="62" spans="1:10" x14ac:dyDescent="0.2">
      <c r="A62" t="s">
        <v>60</v>
      </c>
      <c r="B62" s="99"/>
    </row>
    <row r="63" spans="1:10" x14ac:dyDescent="0.2">
      <c r="A63" s="11" t="str">
        <f>"AutoScaleXandY="&amp;D63</f>
        <v>AutoScaleXandY=TRUE</v>
      </c>
      <c r="B63" s="99" t="s">
        <v>247</v>
      </c>
      <c r="D63" s="17" t="b">
        <v>1</v>
      </c>
    </row>
    <row r="64" spans="1:10" x14ac:dyDescent="0.2">
      <c r="A64" t="s">
        <v>61</v>
      </c>
      <c r="B64" s="99"/>
    </row>
    <row r="65" spans="1:5" x14ac:dyDescent="0.2">
      <c r="A65" s="36" t="str">
        <f>"ZeroMarkWidth="&amp;C65</f>
        <v>ZeroMarkWidth=1</v>
      </c>
      <c r="B65" s="99" t="s">
        <v>247</v>
      </c>
      <c r="C65" s="17">
        <f>IF(D65=TRUE, 1, 0)</f>
        <v>1</v>
      </c>
      <c r="D65" s="17" t="b">
        <v>1</v>
      </c>
    </row>
    <row r="66" spans="1:5" x14ac:dyDescent="0.2">
      <c r="A66" s="11" t="str">
        <f>"HLineColor="&amp;E66</f>
        <v>HLineColor=383838</v>
      </c>
      <c r="B66" s="99" t="s">
        <v>247</v>
      </c>
      <c r="E66" s="75">
        <f>$F$54</f>
        <v>383838</v>
      </c>
    </row>
    <row r="67" spans="1:5" x14ac:dyDescent="0.2">
      <c r="A67" s="11" t="str">
        <f>"VLineColor="&amp;E67</f>
        <v>VLineColor=383838</v>
      </c>
      <c r="B67" s="99" t="s">
        <v>247</v>
      </c>
      <c r="E67" s="75">
        <f>$F$54</f>
        <v>383838</v>
      </c>
    </row>
    <row r="68" spans="1:5" x14ac:dyDescent="0.2">
      <c r="A68" s="11" t="str">
        <f>"ZeroHRSpecBins="&amp;ZB</f>
        <v>ZeroHRSpecBins=0</v>
      </c>
      <c r="B68" s="99"/>
    </row>
    <row r="69" spans="1:5" x14ac:dyDescent="0.2">
      <c r="A69" s="11" t="str">
        <f>"CampbellUpdateMethod="&amp;C69</f>
        <v>CampbellUpdateMethod=Newest</v>
      </c>
      <c r="B69" s="99" t="s">
        <v>247</v>
      </c>
      <c r="C69" s="37" t="str">
        <f>IF(D69,"Largest","Newest")</f>
        <v>Newest</v>
      </c>
      <c r="D69" s="17" t="b">
        <v>0</v>
      </c>
    </row>
    <row r="70" spans="1:5" x14ac:dyDescent="0.2">
      <c r="A70" t="s">
        <v>62</v>
      </c>
      <c r="B70" s="99"/>
    </row>
    <row r="71" spans="1:5" x14ac:dyDescent="0.2">
      <c r="A71" t="s">
        <v>63</v>
      </c>
      <c r="B71" s="99"/>
    </row>
    <row r="72" spans="1:5" x14ac:dyDescent="0.2">
      <c r="A72" s="11" t="str">
        <f>"CampBellIconsCenter="&amp;D72</f>
        <v>CampBellIconsCenter=FALSE</v>
      </c>
      <c r="B72" s="99" t="s">
        <v>247</v>
      </c>
      <c r="D72" s="17" t="b">
        <v>0</v>
      </c>
    </row>
    <row r="73" spans="1:5" x14ac:dyDescent="0.2">
      <c r="A73" s="11" t="str">
        <f>"ZeroLRSpecBins="&amp;ZB</f>
        <v>ZeroLRSpecBins=0</v>
      </c>
      <c r="B73" s="99"/>
    </row>
    <row r="74" spans="1:5" x14ac:dyDescent="0.2">
      <c r="A74" s="11" t="str">
        <f>"OrderUpdateMethod="&amp;C74</f>
        <v>OrderUpdateMethod=Newest</v>
      </c>
      <c r="B74" s="99" t="s">
        <v>247</v>
      </c>
      <c r="C74" s="37" t="str">
        <f>IF(D74,"Largest","Newest")</f>
        <v>Newest</v>
      </c>
      <c r="D74" s="17" t="b">
        <v>0</v>
      </c>
    </row>
    <row r="75" spans="1:5" x14ac:dyDescent="0.2">
      <c r="A75" t="s">
        <v>64</v>
      </c>
      <c r="B75" s="99"/>
    </row>
    <row r="76" spans="1:5" x14ac:dyDescent="0.2">
      <c r="A76" t="s">
        <v>65</v>
      </c>
      <c r="B76" s="99"/>
    </row>
    <row r="77" spans="1:5" x14ac:dyDescent="0.2">
      <c r="A77" t="s">
        <v>605</v>
      </c>
      <c r="B77" s="99"/>
    </row>
    <row r="78" spans="1:5" x14ac:dyDescent="0.2">
      <c r="A78" t="s">
        <v>66</v>
      </c>
      <c r="B78" s="99"/>
    </row>
    <row r="79" spans="1:5" x14ac:dyDescent="0.2">
      <c r="A79" s="11"/>
      <c r="B79" s="99" t="s">
        <v>247</v>
      </c>
    </row>
    <row r="80" spans="1:5" x14ac:dyDescent="0.2">
      <c r="B80" s="99"/>
    </row>
    <row r="81" spans="1:11" x14ac:dyDescent="0.2">
      <c r="A81" t="s">
        <v>67</v>
      </c>
      <c r="B81" s="99"/>
    </row>
    <row r="82" spans="1:11" x14ac:dyDescent="0.2">
      <c r="A82" s="178" t="str">
        <f>"UserWorkspace="&amp;SUBSTITUTE(C82,"\","\\")&amp;""""</f>
        <v>UserWorkspace="C:\\Program Files (x86)\\DSPCon Piranha-III DAW\\Plotworkspace"</v>
      </c>
      <c r="B82" s="99" t="s">
        <v>247</v>
      </c>
      <c r="C82" s="68" t="str">
        <f>""""&amp;WorkingDir&amp;"\"&amp;"Plotworkspace"</f>
        <v>"C:\Program Files (x86)\DSPCon Piranha-III DAW\Plotworkspace</v>
      </c>
      <c r="E82" s="17"/>
      <c r="G82" s="68"/>
      <c r="H82" s="68"/>
      <c r="I82" s="68"/>
      <c r="J82" s="68"/>
      <c r="K82" s="68"/>
    </row>
    <row r="83" spans="1:11" x14ac:dyDescent="0.2">
      <c r="A83" t="s">
        <v>68</v>
      </c>
      <c r="B83" s="99"/>
    </row>
    <row r="84" spans="1:11" x14ac:dyDescent="0.2">
      <c r="A84" s="11" t="str">
        <f>"PrintProperties="&amp;""""&amp;WorkingDir&amp;"\PlotWorkspace\print.xls"""</f>
        <v>PrintProperties="C:\Program Files (x86)\DSPCon Piranha-III DAW\PlotWorkspace\print.xls"</v>
      </c>
      <c r="B84" s="99"/>
      <c r="C84" s="114"/>
    </row>
    <row r="85" spans="1:11" x14ac:dyDescent="0.2">
      <c r="A85" s="11" t="str">
        <f>"DigitalCursorDisplays="""&amp;WorkingDir&amp;"\PlotWorkspace\CursorDisplayTable.csv"""</f>
        <v>DigitalCursorDisplays="C:\Program Files (x86)\DSPCon Piranha-III DAW\PlotWorkspace\CursorDisplayTable.csv"</v>
      </c>
      <c r="B85" s="99"/>
    </row>
    <row r="86" spans="1:11" x14ac:dyDescent="0.2">
      <c r="A86" s="11" t="str">
        <f>"ExportHeader="""&amp;WorkingDir&amp;"\PlotWorkspace\ExportHeader.csv"""</f>
        <v>ExportHeader="C:\Program Files (x86)\DSPCon Piranha-III DAW\PlotWorkspace\ExportHeader.csv"</v>
      </c>
      <c r="B86" s="99"/>
      <c r="C86" s="179"/>
    </row>
    <row r="87" spans="1:11" x14ac:dyDescent="0.2">
      <c r="A87" t="s">
        <v>69</v>
      </c>
      <c r="B87" s="99"/>
    </row>
    <row r="88" spans="1:11" x14ac:dyDescent="0.2">
      <c r="A88" t="s">
        <v>296</v>
      </c>
      <c r="B88" s="99"/>
    </row>
    <row r="89" spans="1:11" x14ac:dyDescent="0.2">
      <c r="A89" t="s">
        <v>70</v>
      </c>
      <c r="B89" s="99"/>
    </row>
    <row r="90" spans="1:11" x14ac:dyDescent="0.2">
      <c r="A90" s="11" t="str">
        <f>"ControlIP="&amp;VLOOKUP(pod,pod_table,2,FALSE)</f>
        <v>ControlIP=127.0.0.1</v>
      </c>
      <c r="B90" s="99"/>
    </row>
    <row r="91" spans="1:11" x14ac:dyDescent="0.2">
      <c r="A91" t="s">
        <v>71</v>
      </c>
      <c r="B91" s="99" t="s">
        <v>247</v>
      </c>
      <c r="C91" s="17" t="s">
        <v>809</v>
      </c>
    </row>
    <row r="92" spans="1:11" x14ac:dyDescent="0.2">
      <c r="A92" s="1" t="s">
        <v>295</v>
      </c>
      <c r="B92" s="99"/>
    </row>
    <row r="93" spans="1:11" x14ac:dyDescent="0.2">
      <c r="B93" s="99"/>
    </row>
    <row r="94" spans="1:11" x14ac:dyDescent="0.2">
      <c r="A94" s="106" t="s">
        <v>72</v>
      </c>
      <c r="B94" s="99"/>
    </row>
    <row r="95" spans="1:11" x14ac:dyDescent="0.2">
      <c r="A95" s="105" t="s">
        <v>73</v>
      </c>
      <c r="B95" s="99"/>
    </row>
    <row r="96" spans="1:11" x14ac:dyDescent="0.2">
      <c r="A96" s="105" t="s">
        <v>74</v>
      </c>
      <c r="B96" s="99"/>
    </row>
    <row r="97" spans="1:2" x14ac:dyDescent="0.2">
      <c r="A97" s="105" t="s">
        <v>75</v>
      </c>
      <c r="B97" s="99"/>
    </row>
    <row r="98" spans="1:2" x14ac:dyDescent="0.2">
      <c r="A98" s="105" t="s">
        <v>708</v>
      </c>
      <c r="B98" s="99"/>
    </row>
    <row r="99" spans="1:2" x14ac:dyDescent="0.2">
      <c r="A99" s="105" t="s">
        <v>709</v>
      </c>
      <c r="B99" s="99"/>
    </row>
    <row r="100" spans="1:2" x14ac:dyDescent="0.2">
      <c r="A100" s="105" t="s">
        <v>710</v>
      </c>
      <c r="B100" s="99"/>
    </row>
    <row r="101" spans="1:2" x14ac:dyDescent="0.2">
      <c r="A101" s="105" t="s">
        <v>711</v>
      </c>
      <c r="B101" s="99"/>
    </row>
    <row r="102" spans="1:2" x14ac:dyDescent="0.2">
      <c r="A102" s="105" t="s">
        <v>712</v>
      </c>
      <c r="B102" s="99"/>
    </row>
    <row r="103" spans="1:2" x14ac:dyDescent="0.2">
      <c r="A103" s="105" t="s">
        <v>713</v>
      </c>
      <c r="B103" s="99"/>
    </row>
    <row r="104" spans="1:2" x14ac:dyDescent="0.2">
      <c r="A104" s="105" t="s">
        <v>714</v>
      </c>
      <c r="B104" s="99"/>
    </row>
    <row r="105" spans="1:2" x14ac:dyDescent="0.2">
      <c r="A105" s="105" t="s">
        <v>83</v>
      </c>
      <c r="B105" s="99"/>
    </row>
    <row r="106" spans="1:2" x14ac:dyDescent="0.2">
      <c r="A106" s="105" t="s">
        <v>84</v>
      </c>
      <c r="B106" s="99"/>
    </row>
    <row r="107" spans="1:2" x14ac:dyDescent="0.2">
      <c r="A107" s="105" t="s">
        <v>85</v>
      </c>
      <c r="B107" s="99"/>
    </row>
    <row r="108" spans="1:2" x14ac:dyDescent="0.2">
      <c r="A108" s="105" t="s">
        <v>86</v>
      </c>
      <c r="B108" s="99"/>
    </row>
    <row r="109" spans="1:2" x14ac:dyDescent="0.2">
      <c r="A109" s="105" t="s">
        <v>715</v>
      </c>
      <c r="B109" s="99"/>
    </row>
    <row r="110" spans="1:2" x14ac:dyDescent="0.2">
      <c r="A110" s="105" t="s">
        <v>716</v>
      </c>
      <c r="B110" s="99"/>
    </row>
    <row r="111" spans="1:2" x14ac:dyDescent="0.2">
      <c r="A111" s="105" t="s">
        <v>717</v>
      </c>
      <c r="B111" s="99"/>
    </row>
    <row r="112" spans="1:2" x14ac:dyDescent="0.2">
      <c r="A112" s="105" t="s">
        <v>718</v>
      </c>
      <c r="B112" s="99"/>
    </row>
    <row r="113" spans="1:2" x14ac:dyDescent="0.2">
      <c r="A113" s="105" t="s">
        <v>719</v>
      </c>
      <c r="B113" s="99"/>
    </row>
    <row r="114" spans="1:2" x14ac:dyDescent="0.2">
      <c r="B114" s="99"/>
    </row>
    <row r="115" spans="1:2" x14ac:dyDescent="0.2">
      <c r="A115" t="s">
        <v>4</v>
      </c>
      <c r="B115" s="99"/>
    </row>
    <row r="116" spans="1:2" x14ac:dyDescent="0.2">
      <c r="A116" t="s">
        <v>5</v>
      </c>
      <c r="B116" s="99"/>
    </row>
    <row r="117" spans="1:2" x14ac:dyDescent="0.2">
      <c r="A117" t="s">
        <v>92</v>
      </c>
      <c r="B117" s="99"/>
    </row>
    <row r="118" spans="1:2" x14ac:dyDescent="0.2">
      <c r="A118" t="s">
        <v>93</v>
      </c>
      <c r="B118" s="99"/>
    </row>
    <row r="119" spans="1:2" x14ac:dyDescent="0.2">
      <c r="A119" t="s">
        <v>94</v>
      </c>
      <c r="B119" s="99"/>
    </row>
    <row r="120" spans="1:2" x14ac:dyDescent="0.2">
      <c r="B120" s="99"/>
    </row>
    <row r="121" spans="1:2" x14ac:dyDescent="0.2">
      <c r="A121" t="s">
        <v>95</v>
      </c>
      <c r="B121" s="99"/>
    </row>
    <row r="122" spans="1:2" x14ac:dyDescent="0.2">
      <c r="A122" t="s">
        <v>96</v>
      </c>
      <c r="B122" s="99"/>
    </row>
    <row r="123" spans="1:2" x14ac:dyDescent="0.2">
      <c r="A123" t="s">
        <v>97</v>
      </c>
      <c r="B123" s="99"/>
    </row>
    <row r="124" spans="1:2" x14ac:dyDescent="0.2">
      <c r="A124" t="s">
        <v>98</v>
      </c>
      <c r="B124" s="99"/>
    </row>
    <row r="125" spans="1:2" x14ac:dyDescent="0.2">
      <c r="A125" t="s">
        <v>99</v>
      </c>
      <c r="B125" s="99"/>
    </row>
    <row r="126" spans="1:2" x14ac:dyDescent="0.2">
      <c r="A126" t="s">
        <v>100</v>
      </c>
      <c r="B126" s="99"/>
    </row>
    <row r="127" spans="1:2" x14ac:dyDescent="0.2">
      <c r="A127" t="s">
        <v>101</v>
      </c>
      <c r="B127" s="99"/>
    </row>
    <row r="128" spans="1:2" x14ac:dyDescent="0.2">
      <c r="A128" t="s">
        <v>102</v>
      </c>
      <c r="B128" s="99"/>
    </row>
    <row r="129" spans="1:2" x14ac:dyDescent="0.2">
      <c r="A129" t="s">
        <v>103</v>
      </c>
      <c r="B129" s="99"/>
    </row>
    <row r="130" spans="1:2" x14ac:dyDescent="0.2">
      <c r="B130" s="99"/>
    </row>
    <row r="131" spans="1:2" x14ac:dyDescent="0.2">
      <c r="A131" t="s">
        <v>104</v>
      </c>
      <c r="B131" s="99"/>
    </row>
    <row r="132" spans="1:2" x14ac:dyDescent="0.2">
      <c r="A132" t="s">
        <v>105</v>
      </c>
      <c r="B132" s="99"/>
    </row>
    <row r="133" spans="1:2" x14ac:dyDescent="0.2">
      <c r="A133" t="s">
        <v>106</v>
      </c>
      <c r="B133" s="99"/>
    </row>
    <row r="134" spans="1:2" x14ac:dyDescent="0.2">
      <c r="A134" t="s">
        <v>107</v>
      </c>
      <c r="B134" s="99"/>
    </row>
    <row r="135" spans="1:2" x14ac:dyDescent="0.2">
      <c r="A135" t="s">
        <v>108</v>
      </c>
      <c r="B135" s="99"/>
    </row>
    <row r="136" spans="1:2" x14ac:dyDescent="0.2">
      <c r="A136" t="s">
        <v>109</v>
      </c>
      <c r="B136" s="99"/>
    </row>
    <row r="137" spans="1:2" x14ac:dyDescent="0.2">
      <c r="A137" t="s">
        <v>110</v>
      </c>
      <c r="B137" s="99"/>
    </row>
    <row r="138" spans="1:2" x14ac:dyDescent="0.2">
      <c r="A138" t="s">
        <v>111</v>
      </c>
      <c r="B138" s="99"/>
    </row>
    <row r="139" spans="1:2" x14ac:dyDescent="0.2">
      <c r="A139" t="s">
        <v>112</v>
      </c>
      <c r="B139" s="99"/>
    </row>
    <row r="140" spans="1:2" x14ac:dyDescent="0.2">
      <c r="B140" s="99"/>
    </row>
    <row r="141" spans="1:2" x14ac:dyDescent="0.2">
      <c r="A141" t="s">
        <v>113</v>
      </c>
      <c r="B141" s="99"/>
    </row>
    <row r="142" spans="1:2" x14ac:dyDescent="0.2">
      <c r="A142" t="s">
        <v>114</v>
      </c>
      <c r="B142" s="99"/>
    </row>
    <row r="143" spans="1:2" x14ac:dyDescent="0.2">
      <c r="A143" t="s">
        <v>106</v>
      </c>
      <c r="B143" s="99"/>
    </row>
    <row r="144" spans="1:2" x14ac:dyDescent="0.2">
      <c r="A144" t="s">
        <v>107</v>
      </c>
      <c r="B144" s="99"/>
    </row>
    <row r="145" spans="1:2" x14ac:dyDescent="0.2">
      <c r="A145" t="s">
        <v>108</v>
      </c>
      <c r="B145" s="99"/>
    </row>
    <row r="146" spans="1:2" x14ac:dyDescent="0.2">
      <c r="A146" t="s">
        <v>109</v>
      </c>
      <c r="B146" s="99"/>
    </row>
    <row r="147" spans="1:2" x14ac:dyDescent="0.2">
      <c r="A147" t="s">
        <v>110</v>
      </c>
      <c r="B147" s="99"/>
    </row>
    <row r="148" spans="1:2" x14ac:dyDescent="0.2">
      <c r="A148" t="s">
        <v>111</v>
      </c>
      <c r="B148" s="99"/>
    </row>
    <row r="149" spans="1:2" x14ac:dyDescent="0.2">
      <c r="A149" t="s">
        <v>112</v>
      </c>
      <c r="B149" s="99"/>
    </row>
    <row r="150" spans="1:2" x14ac:dyDescent="0.2">
      <c r="B150" s="99"/>
    </row>
    <row r="151" spans="1:2" x14ac:dyDescent="0.2">
      <c r="A151" t="s">
        <v>115</v>
      </c>
      <c r="B151" s="99"/>
    </row>
    <row r="152" spans="1:2" x14ac:dyDescent="0.2">
      <c r="A152" t="s">
        <v>116</v>
      </c>
      <c r="B152" s="99"/>
    </row>
    <row r="153" spans="1:2" x14ac:dyDescent="0.2">
      <c r="A153" t="s">
        <v>106</v>
      </c>
      <c r="B153" s="99"/>
    </row>
    <row r="154" spans="1:2" x14ac:dyDescent="0.2">
      <c r="A154" t="s">
        <v>107</v>
      </c>
      <c r="B154" s="99"/>
    </row>
    <row r="155" spans="1:2" x14ac:dyDescent="0.2">
      <c r="A155" t="s">
        <v>108</v>
      </c>
      <c r="B155" s="99"/>
    </row>
    <row r="156" spans="1:2" x14ac:dyDescent="0.2">
      <c r="A156" t="s">
        <v>109</v>
      </c>
      <c r="B156" s="99"/>
    </row>
    <row r="157" spans="1:2" x14ac:dyDescent="0.2">
      <c r="A157" t="s">
        <v>110</v>
      </c>
      <c r="B157" s="99"/>
    </row>
    <row r="158" spans="1:2" x14ac:dyDescent="0.2">
      <c r="A158" t="s">
        <v>111</v>
      </c>
      <c r="B158" s="99"/>
    </row>
    <row r="159" spans="1:2" x14ac:dyDescent="0.2">
      <c r="A159" t="s">
        <v>112</v>
      </c>
      <c r="B159" s="99"/>
    </row>
    <row r="160" spans="1:2" x14ac:dyDescent="0.2">
      <c r="B160" s="99"/>
    </row>
    <row r="161" spans="1:2" x14ac:dyDescent="0.2">
      <c r="A161" t="s">
        <v>117</v>
      </c>
      <c r="B161" s="99"/>
    </row>
    <row r="162" spans="1:2" x14ac:dyDescent="0.2">
      <c r="A162" t="s">
        <v>118</v>
      </c>
      <c r="B162" s="99"/>
    </row>
    <row r="163" spans="1:2" x14ac:dyDescent="0.2">
      <c r="A163" t="s">
        <v>106</v>
      </c>
      <c r="B163" s="99"/>
    </row>
    <row r="164" spans="1:2" x14ac:dyDescent="0.2">
      <c r="A164" t="s">
        <v>107</v>
      </c>
      <c r="B164" s="99"/>
    </row>
    <row r="165" spans="1:2" x14ac:dyDescent="0.2">
      <c r="A165" t="s">
        <v>108</v>
      </c>
      <c r="B165" s="99"/>
    </row>
    <row r="166" spans="1:2" x14ac:dyDescent="0.2">
      <c r="A166" t="s">
        <v>109</v>
      </c>
      <c r="B166" s="99"/>
    </row>
    <row r="167" spans="1:2" x14ac:dyDescent="0.2">
      <c r="A167" t="s">
        <v>110</v>
      </c>
      <c r="B167" s="99"/>
    </row>
    <row r="168" spans="1:2" x14ac:dyDescent="0.2">
      <c r="A168" t="s">
        <v>111</v>
      </c>
      <c r="B168" s="99"/>
    </row>
    <row r="169" spans="1:2" x14ac:dyDescent="0.2">
      <c r="A169" t="s">
        <v>112</v>
      </c>
      <c r="B169" s="99"/>
    </row>
    <row r="170" spans="1:2" x14ac:dyDescent="0.2">
      <c r="B170" s="99"/>
    </row>
    <row r="171" spans="1:2" x14ac:dyDescent="0.2">
      <c r="A171" t="s">
        <v>119</v>
      </c>
      <c r="B171" s="99"/>
    </row>
    <row r="172" spans="1:2" x14ac:dyDescent="0.2">
      <c r="A172" t="s">
        <v>120</v>
      </c>
      <c r="B172" s="99"/>
    </row>
    <row r="173" spans="1:2" x14ac:dyDescent="0.2">
      <c r="A173" t="s">
        <v>106</v>
      </c>
      <c r="B173" s="99"/>
    </row>
    <row r="174" spans="1:2" x14ac:dyDescent="0.2">
      <c r="A174" t="s">
        <v>107</v>
      </c>
      <c r="B174" s="99"/>
    </row>
    <row r="175" spans="1:2" x14ac:dyDescent="0.2">
      <c r="A175" t="s">
        <v>108</v>
      </c>
      <c r="B175" s="99"/>
    </row>
    <row r="176" spans="1:2" x14ac:dyDescent="0.2">
      <c r="A176" t="s">
        <v>109</v>
      </c>
      <c r="B176" s="99"/>
    </row>
    <row r="177" spans="1:2" x14ac:dyDescent="0.2">
      <c r="A177" t="s">
        <v>110</v>
      </c>
      <c r="B177" s="99"/>
    </row>
    <row r="178" spans="1:2" x14ac:dyDescent="0.2">
      <c r="A178" t="s">
        <v>111</v>
      </c>
      <c r="B178" s="99"/>
    </row>
    <row r="179" spans="1:2" x14ac:dyDescent="0.2">
      <c r="A179" t="s">
        <v>112</v>
      </c>
      <c r="B179" s="99"/>
    </row>
    <row r="180" spans="1:2" x14ac:dyDescent="0.2">
      <c r="B180" s="99"/>
    </row>
    <row r="181" spans="1:2" x14ac:dyDescent="0.2">
      <c r="A181" t="s">
        <v>121</v>
      </c>
      <c r="B181" s="99"/>
    </row>
    <row r="182" spans="1:2" x14ac:dyDescent="0.2">
      <c r="A182" t="s">
        <v>122</v>
      </c>
      <c r="B182" s="99"/>
    </row>
    <row r="183" spans="1:2" x14ac:dyDescent="0.2">
      <c r="A183" t="s">
        <v>106</v>
      </c>
      <c r="B183" s="99"/>
    </row>
    <row r="184" spans="1:2" x14ac:dyDescent="0.2">
      <c r="A184" t="s">
        <v>107</v>
      </c>
      <c r="B184" s="99"/>
    </row>
    <row r="185" spans="1:2" x14ac:dyDescent="0.2">
      <c r="A185" t="s">
        <v>108</v>
      </c>
      <c r="B185" s="99"/>
    </row>
    <row r="186" spans="1:2" x14ac:dyDescent="0.2">
      <c r="A186" t="s">
        <v>109</v>
      </c>
      <c r="B186" s="99"/>
    </row>
    <row r="187" spans="1:2" x14ac:dyDescent="0.2">
      <c r="A187" t="s">
        <v>110</v>
      </c>
      <c r="B187" s="99"/>
    </row>
    <row r="188" spans="1:2" x14ac:dyDescent="0.2">
      <c r="A188" t="s">
        <v>111</v>
      </c>
      <c r="B188" s="99"/>
    </row>
    <row r="189" spans="1:2" x14ac:dyDescent="0.2">
      <c r="A189" t="s">
        <v>112</v>
      </c>
      <c r="B189" s="99"/>
    </row>
    <row r="190" spans="1:2" x14ac:dyDescent="0.2">
      <c r="B190" s="99"/>
    </row>
    <row r="191" spans="1:2" x14ac:dyDescent="0.2">
      <c r="A191" t="s">
        <v>123</v>
      </c>
      <c r="B191" s="99"/>
    </row>
    <row r="192" spans="1:2" x14ac:dyDescent="0.2">
      <c r="A192" t="s">
        <v>124</v>
      </c>
      <c r="B192" s="99"/>
    </row>
    <row r="193" spans="1:2" x14ac:dyDescent="0.2">
      <c r="A193" t="s">
        <v>106</v>
      </c>
      <c r="B193" s="99"/>
    </row>
    <row r="194" spans="1:2" x14ac:dyDescent="0.2">
      <c r="A194" t="s">
        <v>107</v>
      </c>
      <c r="B194" s="99"/>
    </row>
    <row r="195" spans="1:2" x14ac:dyDescent="0.2">
      <c r="A195" t="s">
        <v>108</v>
      </c>
      <c r="B195" s="99"/>
    </row>
    <row r="196" spans="1:2" x14ac:dyDescent="0.2">
      <c r="A196" t="s">
        <v>109</v>
      </c>
      <c r="B196" s="99"/>
    </row>
    <row r="197" spans="1:2" x14ac:dyDescent="0.2">
      <c r="A197" t="s">
        <v>110</v>
      </c>
      <c r="B197" s="99"/>
    </row>
    <row r="198" spans="1:2" x14ac:dyDescent="0.2">
      <c r="A198" t="s">
        <v>111</v>
      </c>
      <c r="B198" s="99"/>
    </row>
    <row r="199" spans="1:2" x14ac:dyDescent="0.2">
      <c r="A199" t="s">
        <v>112</v>
      </c>
      <c r="B199" s="99"/>
    </row>
    <row r="200" spans="1:2" x14ac:dyDescent="0.2">
      <c r="B200" s="99"/>
    </row>
    <row r="201" spans="1:2" x14ac:dyDescent="0.2">
      <c r="A201" t="s">
        <v>125</v>
      </c>
      <c r="B201" s="99"/>
    </row>
    <row r="202" spans="1:2" x14ac:dyDescent="0.2">
      <c r="A202" t="s">
        <v>126</v>
      </c>
      <c r="B202" s="99"/>
    </row>
    <row r="203" spans="1:2" x14ac:dyDescent="0.2">
      <c r="A203" t="s">
        <v>106</v>
      </c>
      <c r="B203" s="99"/>
    </row>
    <row r="204" spans="1:2" x14ac:dyDescent="0.2">
      <c r="A204" t="s">
        <v>107</v>
      </c>
      <c r="B204" s="99"/>
    </row>
    <row r="205" spans="1:2" x14ac:dyDescent="0.2">
      <c r="A205" t="s">
        <v>108</v>
      </c>
      <c r="B205" s="99"/>
    </row>
    <row r="206" spans="1:2" x14ac:dyDescent="0.2">
      <c r="A206" t="s">
        <v>109</v>
      </c>
      <c r="B206" s="99"/>
    </row>
    <row r="207" spans="1:2" x14ac:dyDescent="0.2">
      <c r="A207" t="s">
        <v>110</v>
      </c>
      <c r="B207" s="99"/>
    </row>
    <row r="208" spans="1:2" x14ac:dyDescent="0.2">
      <c r="A208" t="s">
        <v>111</v>
      </c>
      <c r="B208" s="99"/>
    </row>
    <row r="209" spans="1:2" x14ac:dyDescent="0.2">
      <c r="A209" t="s">
        <v>112</v>
      </c>
      <c r="B209" s="99"/>
    </row>
    <row r="210" spans="1:2" x14ac:dyDescent="0.2">
      <c r="B210" s="99"/>
    </row>
    <row r="211" spans="1:2" x14ac:dyDescent="0.2">
      <c r="A211" t="s">
        <v>127</v>
      </c>
      <c r="B211" s="99"/>
    </row>
    <row r="212" spans="1:2" x14ac:dyDescent="0.2">
      <c r="A212" t="s">
        <v>114</v>
      </c>
      <c r="B212" s="99"/>
    </row>
    <row r="213" spans="1:2" x14ac:dyDescent="0.2">
      <c r="A213" t="s">
        <v>106</v>
      </c>
      <c r="B213" s="99"/>
    </row>
    <row r="214" spans="1:2" x14ac:dyDescent="0.2">
      <c r="A214" t="s">
        <v>107</v>
      </c>
      <c r="B214" s="99"/>
    </row>
    <row r="215" spans="1:2" x14ac:dyDescent="0.2">
      <c r="A215" t="s">
        <v>108</v>
      </c>
      <c r="B215" s="99"/>
    </row>
    <row r="216" spans="1:2" x14ac:dyDescent="0.2">
      <c r="A216" t="s">
        <v>109</v>
      </c>
      <c r="B216" s="99"/>
    </row>
    <row r="217" spans="1:2" x14ac:dyDescent="0.2">
      <c r="A217" t="s">
        <v>110</v>
      </c>
      <c r="B217" s="99"/>
    </row>
    <row r="218" spans="1:2" x14ac:dyDescent="0.2">
      <c r="A218" t="s">
        <v>111</v>
      </c>
      <c r="B218" s="99"/>
    </row>
    <row r="219" spans="1:2" x14ac:dyDescent="0.2">
      <c r="A219" t="s">
        <v>112</v>
      </c>
      <c r="B219" s="99"/>
    </row>
    <row r="220" spans="1:2" x14ac:dyDescent="0.2">
      <c r="B220" s="99"/>
    </row>
    <row r="221" spans="1:2" x14ac:dyDescent="0.2">
      <c r="A221" t="s">
        <v>128</v>
      </c>
      <c r="B221" s="99"/>
    </row>
    <row r="222" spans="1:2" x14ac:dyDescent="0.2">
      <c r="A222" t="s">
        <v>116</v>
      </c>
      <c r="B222" s="99"/>
    </row>
    <row r="223" spans="1:2" x14ac:dyDescent="0.2">
      <c r="A223" t="s">
        <v>106</v>
      </c>
      <c r="B223" s="99"/>
    </row>
    <row r="224" spans="1:2" x14ac:dyDescent="0.2">
      <c r="A224" t="s">
        <v>107</v>
      </c>
      <c r="B224" s="99"/>
    </row>
    <row r="225" spans="1:2" x14ac:dyDescent="0.2">
      <c r="A225" t="s">
        <v>108</v>
      </c>
      <c r="B225" s="99"/>
    </row>
    <row r="226" spans="1:2" x14ac:dyDescent="0.2">
      <c r="A226" t="s">
        <v>109</v>
      </c>
      <c r="B226" s="99"/>
    </row>
    <row r="227" spans="1:2" x14ac:dyDescent="0.2">
      <c r="A227" t="s">
        <v>110</v>
      </c>
      <c r="B227" s="99"/>
    </row>
    <row r="228" spans="1:2" x14ac:dyDescent="0.2">
      <c r="A228" t="s">
        <v>111</v>
      </c>
      <c r="B228" s="99"/>
    </row>
    <row r="229" spans="1:2" x14ac:dyDescent="0.2">
      <c r="A229" t="s">
        <v>112</v>
      </c>
      <c r="B229" s="99"/>
    </row>
    <row r="230" spans="1:2" x14ac:dyDescent="0.2">
      <c r="B230" s="99"/>
    </row>
    <row r="231" spans="1:2" x14ac:dyDescent="0.2">
      <c r="A231" t="s">
        <v>129</v>
      </c>
      <c r="B231" s="99"/>
    </row>
    <row r="232" spans="1:2" x14ac:dyDescent="0.2">
      <c r="A232" t="s">
        <v>118</v>
      </c>
      <c r="B232" s="99"/>
    </row>
    <row r="233" spans="1:2" x14ac:dyDescent="0.2">
      <c r="A233" t="s">
        <v>106</v>
      </c>
      <c r="B233" s="99"/>
    </row>
    <row r="234" spans="1:2" x14ac:dyDescent="0.2">
      <c r="A234" t="s">
        <v>107</v>
      </c>
      <c r="B234" s="99"/>
    </row>
    <row r="235" spans="1:2" x14ac:dyDescent="0.2">
      <c r="A235" t="s">
        <v>108</v>
      </c>
      <c r="B235" s="99"/>
    </row>
    <row r="236" spans="1:2" x14ac:dyDescent="0.2">
      <c r="A236" t="s">
        <v>109</v>
      </c>
      <c r="B236" s="99"/>
    </row>
    <row r="237" spans="1:2" x14ac:dyDescent="0.2">
      <c r="A237" t="s">
        <v>110</v>
      </c>
      <c r="B237" s="99"/>
    </row>
    <row r="238" spans="1:2" x14ac:dyDescent="0.2">
      <c r="A238" t="s">
        <v>111</v>
      </c>
      <c r="B238" s="99"/>
    </row>
    <row r="239" spans="1:2" x14ac:dyDescent="0.2">
      <c r="A239" t="s">
        <v>112</v>
      </c>
      <c r="B239" s="99"/>
    </row>
    <row r="240" spans="1:2" x14ac:dyDescent="0.2">
      <c r="B240" s="99"/>
    </row>
    <row r="241" spans="1:2" x14ac:dyDescent="0.2">
      <c r="A241" t="s">
        <v>130</v>
      </c>
      <c r="B241" s="99"/>
    </row>
    <row r="242" spans="1:2" x14ac:dyDescent="0.2">
      <c r="A242" t="s">
        <v>120</v>
      </c>
      <c r="B242" s="99"/>
    </row>
    <row r="243" spans="1:2" x14ac:dyDescent="0.2">
      <c r="A243" t="s">
        <v>106</v>
      </c>
      <c r="B243" s="99"/>
    </row>
    <row r="244" spans="1:2" x14ac:dyDescent="0.2">
      <c r="A244" t="s">
        <v>107</v>
      </c>
      <c r="B244" s="99"/>
    </row>
    <row r="245" spans="1:2" x14ac:dyDescent="0.2">
      <c r="A245" t="s">
        <v>108</v>
      </c>
      <c r="B245" s="99"/>
    </row>
    <row r="246" spans="1:2" x14ac:dyDescent="0.2">
      <c r="A246" t="s">
        <v>109</v>
      </c>
      <c r="B246" s="99"/>
    </row>
    <row r="247" spans="1:2" x14ac:dyDescent="0.2">
      <c r="A247" t="s">
        <v>110</v>
      </c>
      <c r="B247" s="99"/>
    </row>
    <row r="248" spans="1:2" x14ac:dyDescent="0.2">
      <c r="A248" t="s">
        <v>111</v>
      </c>
      <c r="B248" s="99"/>
    </row>
    <row r="249" spans="1:2" x14ac:dyDescent="0.2">
      <c r="A249" t="s">
        <v>112</v>
      </c>
      <c r="B249" s="99"/>
    </row>
    <row r="250" spans="1:2" x14ac:dyDescent="0.2">
      <c r="B250" s="99"/>
    </row>
    <row r="251" spans="1:2" x14ac:dyDescent="0.2">
      <c r="A251" t="s">
        <v>131</v>
      </c>
      <c r="B251" s="99"/>
    </row>
    <row r="252" spans="1:2" x14ac:dyDescent="0.2">
      <c r="A252" t="s">
        <v>122</v>
      </c>
      <c r="B252" s="99"/>
    </row>
    <row r="253" spans="1:2" x14ac:dyDescent="0.2">
      <c r="A253" t="s">
        <v>106</v>
      </c>
      <c r="B253" s="99"/>
    </row>
    <row r="254" spans="1:2" x14ac:dyDescent="0.2">
      <c r="A254" t="s">
        <v>107</v>
      </c>
      <c r="B254" s="99"/>
    </row>
    <row r="255" spans="1:2" x14ac:dyDescent="0.2">
      <c r="A255" t="s">
        <v>108</v>
      </c>
      <c r="B255" s="99"/>
    </row>
    <row r="256" spans="1:2" x14ac:dyDescent="0.2">
      <c r="A256" t="s">
        <v>109</v>
      </c>
      <c r="B256" s="99"/>
    </row>
    <row r="257" spans="1:2" x14ac:dyDescent="0.2">
      <c r="A257" t="s">
        <v>110</v>
      </c>
      <c r="B257" s="99"/>
    </row>
    <row r="258" spans="1:2" x14ac:dyDescent="0.2">
      <c r="A258" t="s">
        <v>111</v>
      </c>
      <c r="B258" s="99"/>
    </row>
    <row r="259" spans="1:2" x14ac:dyDescent="0.2">
      <c r="A259" t="s">
        <v>112</v>
      </c>
      <c r="B259" s="99"/>
    </row>
    <row r="260" spans="1:2" x14ac:dyDescent="0.2">
      <c r="B260" s="99"/>
    </row>
    <row r="261" spans="1:2" x14ac:dyDescent="0.2">
      <c r="A261" t="s">
        <v>132</v>
      </c>
      <c r="B261" s="99"/>
    </row>
    <row r="262" spans="1:2" x14ac:dyDescent="0.2">
      <c r="A262" t="s">
        <v>126</v>
      </c>
      <c r="B262" s="99"/>
    </row>
    <row r="263" spans="1:2" x14ac:dyDescent="0.2">
      <c r="A263" t="s">
        <v>106</v>
      </c>
      <c r="B263" s="99"/>
    </row>
    <row r="264" spans="1:2" x14ac:dyDescent="0.2">
      <c r="A264" t="s">
        <v>107</v>
      </c>
      <c r="B264" s="99"/>
    </row>
    <row r="265" spans="1:2" x14ac:dyDescent="0.2">
      <c r="A265" t="s">
        <v>108</v>
      </c>
      <c r="B265" s="99"/>
    </row>
    <row r="266" spans="1:2" x14ac:dyDescent="0.2">
      <c r="A266" t="s">
        <v>109</v>
      </c>
      <c r="B266" s="99"/>
    </row>
    <row r="267" spans="1:2" x14ac:dyDescent="0.2">
      <c r="A267" t="s">
        <v>110</v>
      </c>
      <c r="B267" s="99"/>
    </row>
    <row r="268" spans="1:2" x14ac:dyDescent="0.2">
      <c r="A268" t="s">
        <v>111</v>
      </c>
      <c r="B268" s="99"/>
    </row>
    <row r="269" spans="1:2" x14ac:dyDescent="0.2">
      <c r="A269" t="s">
        <v>112</v>
      </c>
      <c r="B269" s="99"/>
    </row>
    <row r="270" spans="1:2" x14ac:dyDescent="0.2">
      <c r="B270" s="99"/>
    </row>
    <row r="271" spans="1:2" x14ac:dyDescent="0.2">
      <c r="A271" t="s">
        <v>133</v>
      </c>
      <c r="B271" s="99"/>
    </row>
    <row r="272" spans="1:2" x14ac:dyDescent="0.2">
      <c r="A272" t="s">
        <v>124</v>
      </c>
      <c r="B272" s="99"/>
    </row>
    <row r="273" spans="1:2" x14ac:dyDescent="0.2">
      <c r="A273" t="s">
        <v>106</v>
      </c>
      <c r="B273" s="99"/>
    </row>
    <row r="274" spans="1:2" x14ac:dyDescent="0.2">
      <c r="A274" t="s">
        <v>107</v>
      </c>
      <c r="B274" s="99"/>
    </row>
    <row r="275" spans="1:2" x14ac:dyDescent="0.2">
      <c r="A275" t="s">
        <v>108</v>
      </c>
      <c r="B275" s="99"/>
    </row>
    <row r="276" spans="1:2" x14ac:dyDescent="0.2">
      <c r="A276" t="s">
        <v>109</v>
      </c>
      <c r="B276" s="99"/>
    </row>
    <row r="277" spans="1:2" x14ac:dyDescent="0.2">
      <c r="A277" t="s">
        <v>110</v>
      </c>
      <c r="B277" s="99"/>
    </row>
    <row r="278" spans="1:2" x14ac:dyDescent="0.2">
      <c r="A278" t="s">
        <v>111</v>
      </c>
      <c r="B278" s="99"/>
    </row>
    <row r="279" spans="1:2" x14ac:dyDescent="0.2">
      <c r="A279" t="s">
        <v>112</v>
      </c>
      <c r="B279" s="99"/>
    </row>
    <row r="280" spans="1:2" x14ac:dyDescent="0.2">
      <c r="B280" s="99"/>
    </row>
    <row r="281" spans="1:2" x14ac:dyDescent="0.2">
      <c r="A281" t="s">
        <v>134</v>
      </c>
      <c r="B281" s="99"/>
    </row>
    <row r="282" spans="1:2" x14ac:dyDescent="0.2">
      <c r="A282" t="s">
        <v>126</v>
      </c>
      <c r="B282" s="99"/>
    </row>
    <row r="283" spans="1:2" x14ac:dyDescent="0.2">
      <c r="A283" t="s">
        <v>106</v>
      </c>
      <c r="B283" s="99"/>
    </row>
    <row r="284" spans="1:2" x14ac:dyDescent="0.2">
      <c r="A284" t="s">
        <v>107</v>
      </c>
      <c r="B284" s="99"/>
    </row>
    <row r="285" spans="1:2" x14ac:dyDescent="0.2">
      <c r="A285" t="s">
        <v>108</v>
      </c>
      <c r="B285" s="99"/>
    </row>
    <row r="286" spans="1:2" x14ac:dyDescent="0.2">
      <c r="A286" t="s">
        <v>109</v>
      </c>
      <c r="B286" s="99"/>
    </row>
    <row r="287" spans="1:2" x14ac:dyDescent="0.2">
      <c r="A287" t="s">
        <v>110</v>
      </c>
      <c r="B287" s="99"/>
    </row>
    <row r="288" spans="1:2" x14ac:dyDescent="0.2">
      <c r="A288" t="s">
        <v>111</v>
      </c>
      <c r="B288" s="99"/>
    </row>
    <row r="289" spans="1:2" x14ac:dyDescent="0.2">
      <c r="A289" t="s">
        <v>112</v>
      </c>
      <c r="B289" s="99"/>
    </row>
    <row r="290" spans="1:2" x14ac:dyDescent="0.2">
      <c r="B290" s="99"/>
    </row>
    <row r="291" spans="1:2" x14ac:dyDescent="0.2">
      <c r="A291" t="s">
        <v>135</v>
      </c>
      <c r="B291" s="99"/>
    </row>
    <row r="292" spans="1:2" x14ac:dyDescent="0.2">
      <c r="A292" t="s">
        <v>114</v>
      </c>
      <c r="B292" s="99"/>
    </row>
    <row r="293" spans="1:2" x14ac:dyDescent="0.2">
      <c r="A293" t="s">
        <v>106</v>
      </c>
      <c r="B293" s="99"/>
    </row>
    <row r="294" spans="1:2" x14ac:dyDescent="0.2">
      <c r="A294" t="s">
        <v>107</v>
      </c>
      <c r="B294" s="99"/>
    </row>
    <row r="295" spans="1:2" x14ac:dyDescent="0.2">
      <c r="A295" t="s">
        <v>108</v>
      </c>
      <c r="B295" s="99"/>
    </row>
    <row r="296" spans="1:2" x14ac:dyDescent="0.2">
      <c r="A296" t="s">
        <v>109</v>
      </c>
      <c r="B296" s="99"/>
    </row>
    <row r="297" spans="1:2" x14ac:dyDescent="0.2">
      <c r="A297" t="s">
        <v>110</v>
      </c>
      <c r="B297" s="99"/>
    </row>
    <row r="298" spans="1:2" x14ac:dyDescent="0.2">
      <c r="A298" t="s">
        <v>111</v>
      </c>
      <c r="B298" s="99"/>
    </row>
    <row r="299" spans="1:2" x14ac:dyDescent="0.2">
      <c r="A299" t="s">
        <v>112</v>
      </c>
      <c r="B299" s="99"/>
    </row>
    <row r="300" spans="1:2" x14ac:dyDescent="0.2">
      <c r="B300" s="99"/>
    </row>
    <row r="301" spans="1:2" x14ac:dyDescent="0.2">
      <c r="A301" t="s">
        <v>136</v>
      </c>
      <c r="B301" s="99"/>
    </row>
    <row r="302" spans="1:2" x14ac:dyDescent="0.2">
      <c r="A302" t="s">
        <v>116</v>
      </c>
      <c r="B302" s="99"/>
    </row>
    <row r="303" spans="1:2" x14ac:dyDescent="0.2">
      <c r="A303" t="s">
        <v>106</v>
      </c>
      <c r="B303" s="99"/>
    </row>
    <row r="304" spans="1:2" x14ac:dyDescent="0.2">
      <c r="A304" t="s">
        <v>107</v>
      </c>
      <c r="B304" s="99"/>
    </row>
    <row r="305" spans="1:2" x14ac:dyDescent="0.2">
      <c r="A305" t="s">
        <v>108</v>
      </c>
      <c r="B305" s="99"/>
    </row>
    <row r="306" spans="1:2" x14ac:dyDescent="0.2">
      <c r="A306" t="s">
        <v>109</v>
      </c>
      <c r="B306" s="99"/>
    </row>
    <row r="307" spans="1:2" x14ac:dyDescent="0.2">
      <c r="A307" t="s">
        <v>110</v>
      </c>
      <c r="B307" s="99"/>
    </row>
    <row r="308" spans="1:2" x14ac:dyDescent="0.2">
      <c r="A308" t="s">
        <v>111</v>
      </c>
      <c r="B308" s="99"/>
    </row>
    <row r="309" spans="1:2" x14ac:dyDescent="0.2">
      <c r="A309" t="s">
        <v>112</v>
      </c>
      <c r="B309" s="99"/>
    </row>
    <row r="310" spans="1:2" x14ac:dyDescent="0.2">
      <c r="B310" s="99"/>
    </row>
    <row r="311" spans="1:2" x14ac:dyDescent="0.2">
      <c r="A311" t="s">
        <v>137</v>
      </c>
      <c r="B311" s="99"/>
    </row>
    <row r="312" spans="1:2" x14ac:dyDescent="0.2">
      <c r="A312" t="s">
        <v>118</v>
      </c>
      <c r="B312" s="99"/>
    </row>
    <row r="313" spans="1:2" x14ac:dyDescent="0.2">
      <c r="A313" t="s">
        <v>106</v>
      </c>
      <c r="B313" s="99"/>
    </row>
    <row r="314" spans="1:2" x14ac:dyDescent="0.2">
      <c r="A314" t="s">
        <v>107</v>
      </c>
      <c r="B314" s="99"/>
    </row>
    <row r="315" spans="1:2" x14ac:dyDescent="0.2">
      <c r="A315" t="s">
        <v>108</v>
      </c>
      <c r="B315" s="99"/>
    </row>
    <row r="316" spans="1:2" x14ac:dyDescent="0.2">
      <c r="A316" t="s">
        <v>109</v>
      </c>
      <c r="B316" s="99"/>
    </row>
    <row r="317" spans="1:2" x14ac:dyDescent="0.2">
      <c r="A317" t="s">
        <v>110</v>
      </c>
      <c r="B317" s="99"/>
    </row>
    <row r="318" spans="1:2" x14ac:dyDescent="0.2">
      <c r="A318" t="s">
        <v>111</v>
      </c>
      <c r="B318" s="99"/>
    </row>
    <row r="319" spans="1:2" x14ac:dyDescent="0.2">
      <c r="A319" t="s">
        <v>112</v>
      </c>
      <c r="B319" s="99"/>
    </row>
    <row r="320" spans="1:2" x14ac:dyDescent="0.2">
      <c r="B320" s="99"/>
    </row>
    <row r="321" spans="1:2" x14ac:dyDescent="0.2">
      <c r="A321" t="s">
        <v>138</v>
      </c>
      <c r="B321" s="99"/>
    </row>
    <row r="322" spans="1:2" x14ac:dyDescent="0.2">
      <c r="A322" t="s">
        <v>120</v>
      </c>
      <c r="B322" s="99"/>
    </row>
    <row r="323" spans="1:2" x14ac:dyDescent="0.2">
      <c r="A323" t="s">
        <v>106</v>
      </c>
      <c r="B323" s="99"/>
    </row>
    <row r="324" spans="1:2" x14ac:dyDescent="0.2">
      <c r="A324" t="s">
        <v>107</v>
      </c>
      <c r="B324" s="99"/>
    </row>
    <row r="325" spans="1:2" x14ac:dyDescent="0.2">
      <c r="A325" t="s">
        <v>108</v>
      </c>
      <c r="B325" s="99"/>
    </row>
    <row r="326" spans="1:2" x14ac:dyDescent="0.2">
      <c r="A326" t="s">
        <v>109</v>
      </c>
      <c r="B326" s="99"/>
    </row>
    <row r="327" spans="1:2" x14ac:dyDescent="0.2">
      <c r="A327" t="s">
        <v>110</v>
      </c>
      <c r="B327" s="99"/>
    </row>
    <row r="328" spans="1:2" x14ac:dyDescent="0.2">
      <c r="A328" t="s">
        <v>111</v>
      </c>
      <c r="B328" s="99"/>
    </row>
    <row r="329" spans="1:2" x14ac:dyDescent="0.2">
      <c r="A329" t="s">
        <v>112</v>
      </c>
      <c r="B329" s="99"/>
    </row>
    <row r="330" spans="1:2" x14ac:dyDescent="0.2">
      <c r="B330" s="99"/>
    </row>
    <row r="331" spans="1:2" x14ac:dyDescent="0.2">
      <c r="A331" t="s">
        <v>139</v>
      </c>
      <c r="B331" s="99"/>
    </row>
    <row r="332" spans="1:2" x14ac:dyDescent="0.2">
      <c r="A332" t="s">
        <v>140</v>
      </c>
      <c r="B332" s="99"/>
    </row>
    <row r="333" spans="1:2" x14ac:dyDescent="0.2">
      <c r="A333" t="s">
        <v>106</v>
      </c>
      <c r="B333" s="99"/>
    </row>
    <row r="334" spans="1:2" x14ac:dyDescent="0.2">
      <c r="A334" t="s">
        <v>107</v>
      </c>
      <c r="B334" s="99"/>
    </row>
    <row r="335" spans="1:2" x14ac:dyDescent="0.2">
      <c r="A335" t="s">
        <v>108</v>
      </c>
      <c r="B335" s="99"/>
    </row>
    <row r="336" spans="1:2" x14ac:dyDescent="0.2">
      <c r="A336" t="s">
        <v>109</v>
      </c>
      <c r="B336" s="99"/>
    </row>
    <row r="337" spans="1:2" x14ac:dyDescent="0.2">
      <c r="A337" t="s">
        <v>110</v>
      </c>
      <c r="B337" s="99"/>
    </row>
    <row r="338" spans="1:2" x14ac:dyDescent="0.2">
      <c r="A338" t="s">
        <v>111</v>
      </c>
      <c r="B338" s="99"/>
    </row>
    <row r="339" spans="1:2" x14ac:dyDescent="0.2">
      <c r="A339" t="s">
        <v>112</v>
      </c>
      <c r="B339" s="99"/>
    </row>
    <row r="340" spans="1:2" x14ac:dyDescent="0.2">
      <c r="B340" s="99"/>
    </row>
    <row r="341" spans="1:2" x14ac:dyDescent="0.2">
      <c r="A341" t="s">
        <v>141</v>
      </c>
      <c r="B341" s="99"/>
    </row>
    <row r="342" spans="1:2" x14ac:dyDescent="0.2">
      <c r="A342" t="s">
        <v>142</v>
      </c>
      <c r="B342" s="99"/>
    </row>
    <row r="343" spans="1:2" x14ac:dyDescent="0.2">
      <c r="A343" t="s">
        <v>106</v>
      </c>
      <c r="B343" s="99"/>
    </row>
    <row r="344" spans="1:2" x14ac:dyDescent="0.2">
      <c r="A344" t="s">
        <v>107</v>
      </c>
      <c r="B344" s="99"/>
    </row>
    <row r="345" spans="1:2" x14ac:dyDescent="0.2">
      <c r="A345" t="s">
        <v>108</v>
      </c>
      <c r="B345" s="99"/>
    </row>
    <row r="346" spans="1:2" x14ac:dyDescent="0.2">
      <c r="A346" t="s">
        <v>109</v>
      </c>
      <c r="B346" s="99"/>
    </row>
    <row r="347" spans="1:2" x14ac:dyDescent="0.2">
      <c r="A347" t="s">
        <v>110</v>
      </c>
      <c r="B347" s="99"/>
    </row>
    <row r="348" spans="1:2" x14ac:dyDescent="0.2">
      <c r="A348" t="s">
        <v>111</v>
      </c>
      <c r="B348" s="99"/>
    </row>
    <row r="349" spans="1:2" x14ac:dyDescent="0.2">
      <c r="A349" t="s">
        <v>112</v>
      </c>
      <c r="B349" s="99"/>
    </row>
    <row r="350" spans="1:2" x14ac:dyDescent="0.2">
      <c r="B350" s="99"/>
    </row>
    <row r="351" spans="1:2" x14ac:dyDescent="0.2">
      <c r="A351" t="s">
        <v>143</v>
      </c>
      <c r="B351" s="99"/>
    </row>
    <row r="352" spans="1:2" x14ac:dyDescent="0.2">
      <c r="A352" t="s">
        <v>114</v>
      </c>
      <c r="B352" s="99"/>
    </row>
    <row r="353" spans="1:2" x14ac:dyDescent="0.2">
      <c r="A353" t="s">
        <v>106</v>
      </c>
      <c r="B353" s="99"/>
    </row>
    <row r="354" spans="1:2" x14ac:dyDescent="0.2">
      <c r="A354" t="s">
        <v>107</v>
      </c>
      <c r="B354" s="99"/>
    </row>
    <row r="355" spans="1:2" x14ac:dyDescent="0.2">
      <c r="A355" t="s">
        <v>108</v>
      </c>
      <c r="B355" s="99"/>
    </row>
    <row r="356" spans="1:2" x14ac:dyDescent="0.2">
      <c r="A356" t="s">
        <v>109</v>
      </c>
      <c r="B356" s="99"/>
    </row>
    <row r="357" spans="1:2" x14ac:dyDescent="0.2">
      <c r="A357" t="s">
        <v>110</v>
      </c>
      <c r="B357" s="99"/>
    </row>
    <row r="358" spans="1:2" x14ac:dyDescent="0.2">
      <c r="A358" t="s">
        <v>111</v>
      </c>
      <c r="B358" s="99"/>
    </row>
    <row r="359" spans="1:2" x14ac:dyDescent="0.2">
      <c r="A359" t="s">
        <v>112</v>
      </c>
      <c r="B359" s="99"/>
    </row>
    <row r="360" spans="1:2" x14ac:dyDescent="0.2">
      <c r="B360" s="99"/>
    </row>
    <row r="361" spans="1:2" x14ac:dyDescent="0.2">
      <c r="A361" t="s">
        <v>144</v>
      </c>
      <c r="B361" s="99"/>
    </row>
    <row r="362" spans="1:2" x14ac:dyDescent="0.2">
      <c r="A362" t="s">
        <v>116</v>
      </c>
      <c r="B362" s="99"/>
    </row>
    <row r="363" spans="1:2" x14ac:dyDescent="0.2">
      <c r="A363" t="s">
        <v>106</v>
      </c>
      <c r="B363" s="99"/>
    </row>
    <row r="364" spans="1:2" x14ac:dyDescent="0.2">
      <c r="A364" t="s">
        <v>107</v>
      </c>
      <c r="B364" s="99"/>
    </row>
    <row r="365" spans="1:2" x14ac:dyDescent="0.2">
      <c r="A365" t="s">
        <v>108</v>
      </c>
      <c r="B365" s="99"/>
    </row>
    <row r="366" spans="1:2" x14ac:dyDescent="0.2">
      <c r="A366" t="s">
        <v>109</v>
      </c>
      <c r="B366" s="99"/>
    </row>
    <row r="367" spans="1:2" x14ac:dyDescent="0.2">
      <c r="A367" t="s">
        <v>110</v>
      </c>
      <c r="B367" s="99"/>
    </row>
    <row r="368" spans="1:2" x14ac:dyDescent="0.2">
      <c r="A368" t="s">
        <v>111</v>
      </c>
      <c r="B368" s="99"/>
    </row>
    <row r="369" spans="1:2" x14ac:dyDescent="0.2">
      <c r="A369" t="s">
        <v>112</v>
      </c>
      <c r="B369" s="99"/>
    </row>
    <row r="370" spans="1:2" x14ac:dyDescent="0.2">
      <c r="B370" s="99"/>
    </row>
    <row r="371" spans="1:2" x14ac:dyDescent="0.2">
      <c r="A371" t="s">
        <v>145</v>
      </c>
      <c r="B371" s="99"/>
    </row>
    <row r="372" spans="1:2" x14ac:dyDescent="0.2">
      <c r="A372" t="s">
        <v>118</v>
      </c>
      <c r="B372" s="99"/>
    </row>
    <row r="373" spans="1:2" x14ac:dyDescent="0.2">
      <c r="A373" t="s">
        <v>106</v>
      </c>
      <c r="B373" s="99"/>
    </row>
    <row r="374" spans="1:2" x14ac:dyDescent="0.2">
      <c r="A374" t="s">
        <v>107</v>
      </c>
      <c r="B374" s="99"/>
    </row>
    <row r="375" spans="1:2" x14ac:dyDescent="0.2">
      <c r="A375" t="s">
        <v>108</v>
      </c>
      <c r="B375" s="99"/>
    </row>
    <row r="376" spans="1:2" x14ac:dyDescent="0.2">
      <c r="A376" t="s">
        <v>109</v>
      </c>
      <c r="B376" s="99"/>
    </row>
    <row r="377" spans="1:2" x14ac:dyDescent="0.2">
      <c r="A377" t="s">
        <v>110</v>
      </c>
      <c r="B377" s="99"/>
    </row>
    <row r="378" spans="1:2" x14ac:dyDescent="0.2">
      <c r="A378" t="s">
        <v>111</v>
      </c>
      <c r="B378" s="99"/>
    </row>
    <row r="379" spans="1:2" x14ac:dyDescent="0.2">
      <c r="A379" t="s">
        <v>112</v>
      </c>
      <c r="B379" s="99"/>
    </row>
    <row r="380" spans="1:2" x14ac:dyDescent="0.2">
      <c r="B380" s="99"/>
    </row>
    <row r="381" spans="1:2" x14ac:dyDescent="0.2">
      <c r="A381" t="s">
        <v>146</v>
      </c>
      <c r="B381" s="99"/>
    </row>
    <row r="382" spans="1:2" x14ac:dyDescent="0.2">
      <c r="A382" t="s">
        <v>120</v>
      </c>
      <c r="B382" s="99"/>
    </row>
    <row r="383" spans="1:2" x14ac:dyDescent="0.2">
      <c r="A383" t="s">
        <v>106</v>
      </c>
      <c r="B383" s="99"/>
    </row>
    <row r="384" spans="1:2" x14ac:dyDescent="0.2">
      <c r="A384" t="s">
        <v>107</v>
      </c>
      <c r="B384" s="99"/>
    </row>
    <row r="385" spans="1:2" x14ac:dyDescent="0.2">
      <c r="A385" t="s">
        <v>108</v>
      </c>
      <c r="B385" s="99"/>
    </row>
    <row r="386" spans="1:2" x14ac:dyDescent="0.2">
      <c r="A386" t="s">
        <v>109</v>
      </c>
      <c r="B386" s="99"/>
    </row>
    <row r="387" spans="1:2" x14ac:dyDescent="0.2">
      <c r="A387" t="s">
        <v>110</v>
      </c>
      <c r="B387" s="99"/>
    </row>
    <row r="388" spans="1:2" x14ac:dyDescent="0.2">
      <c r="A388" t="s">
        <v>111</v>
      </c>
      <c r="B388" s="99"/>
    </row>
    <row r="389" spans="1:2" x14ac:dyDescent="0.2">
      <c r="A389" t="s">
        <v>112</v>
      </c>
      <c r="B389" s="99"/>
    </row>
    <row r="390" spans="1:2" x14ac:dyDescent="0.2">
      <c r="B390" s="99"/>
    </row>
    <row r="391" spans="1:2" x14ac:dyDescent="0.2">
      <c r="A391" t="s">
        <v>147</v>
      </c>
      <c r="B391" s="99"/>
    </row>
    <row r="392" spans="1:2" x14ac:dyDescent="0.2">
      <c r="A392" t="s">
        <v>140</v>
      </c>
      <c r="B392" s="99"/>
    </row>
    <row r="393" spans="1:2" x14ac:dyDescent="0.2">
      <c r="A393" t="s">
        <v>106</v>
      </c>
      <c r="B393" s="99"/>
    </row>
    <row r="394" spans="1:2" x14ac:dyDescent="0.2">
      <c r="A394" t="s">
        <v>107</v>
      </c>
      <c r="B394" s="99"/>
    </row>
    <row r="395" spans="1:2" x14ac:dyDescent="0.2">
      <c r="A395" t="s">
        <v>108</v>
      </c>
      <c r="B395" s="99"/>
    </row>
    <row r="396" spans="1:2" x14ac:dyDescent="0.2">
      <c r="A396" t="s">
        <v>109</v>
      </c>
      <c r="B396" s="99"/>
    </row>
    <row r="397" spans="1:2" x14ac:dyDescent="0.2">
      <c r="A397" t="s">
        <v>110</v>
      </c>
      <c r="B397" s="99"/>
    </row>
    <row r="398" spans="1:2" x14ac:dyDescent="0.2">
      <c r="A398" t="s">
        <v>111</v>
      </c>
      <c r="B398" s="99"/>
    </row>
    <row r="399" spans="1:2" x14ac:dyDescent="0.2">
      <c r="A399" t="s">
        <v>112</v>
      </c>
      <c r="B399" s="99"/>
    </row>
    <row r="400" spans="1:2" x14ac:dyDescent="0.2">
      <c r="B400" s="99"/>
    </row>
    <row r="401" spans="1:2" x14ac:dyDescent="0.2">
      <c r="A401" t="s">
        <v>148</v>
      </c>
      <c r="B401" s="99"/>
    </row>
    <row r="402" spans="1:2" x14ac:dyDescent="0.2">
      <c r="A402" t="s">
        <v>114</v>
      </c>
      <c r="B402" s="99"/>
    </row>
    <row r="403" spans="1:2" x14ac:dyDescent="0.2">
      <c r="A403" t="s">
        <v>106</v>
      </c>
      <c r="B403" s="99"/>
    </row>
    <row r="404" spans="1:2" x14ac:dyDescent="0.2">
      <c r="A404" t="s">
        <v>107</v>
      </c>
      <c r="B404" s="99"/>
    </row>
    <row r="405" spans="1:2" x14ac:dyDescent="0.2">
      <c r="A405" t="s">
        <v>108</v>
      </c>
      <c r="B405" s="99"/>
    </row>
    <row r="406" spans="1:2" x14ac:dyDescent="0.2">
      <c r="A406" t="s">
        <v>109</v>
      </c>
      <c r="B406" s="99"/>
    </row>
    <row r="407" spans="1:2" x14ac:dyDescent="0.2">
      <c r="A407" t="s">
        <v>110</v>
      </c>
      <c r="B407" s="99"/>
    </row>
    <row r="408" spans="1:2" x14ac:dyDescent="0.2">
      <c r="A408" t="s">
        <v>111</v>
      </c>
      <c r="B408" s="99"/>
    </row>
    <row r="409" spans="1:2" x14ac:dyDescent="0.2">
      <c r="A409" t="s">
        <v>112</v>
      </c>
      <c r="B409" s="99"/>
    </row>
    <row r="410" spans="1:2" x14ac:dyDescent="0.2">
      <c r="B410" s="99"/>
    </row>
    <row r="411" spans="1:2" x14ac:dyDescent="0.2">
      <c r="A411" t="s">
        <v>149</v>
      </c>
      <c r="B411" s="99"/>
    </row>
    <row r="412" spans="1:2" x14ac:dyDescent="0.2">
      <c r="A412" t="s">
        <v>116</v>
      </c>
      <c r="B412" s="99"/>
    </row>
    <row r="413" spans="1:2" x14ac:dyDescent="0.2">
      <c r="A413" t="s">
        <v>106</v>
      </c>
      <c r="B413" s="99"/>
    </row>
    <row r="414" spans="1:2" x14ac:dyDescent="0.2">
      <c r="A414" t="s">
        <v>107</v>
      </c>
      <c r="B414" s="99"/>
    </row>
    <row r="415" spans="1:2" x14ac:dyDescent="0.2">
      <c r="A415" t="s">
        <v>108</v>
      </c>
      <c r="B415" s="99"/>
    </row>
    <row r="416" spans="1:2" x14ac:dyDescent="0.2">
      <c r="A416" t="s">
        <v>109</v>
      </c>
      <c r="B416" s="99"/>
    </row>
    <row r="417" spans="1:2" x14ac:dyDescent="0.2">
      <c r="A417" t="s">
        <v>110</v>
      </c>
      <c r="B417" s="99"/>
    </row>
    <row r="418" spans="1:2" x14ac:dyDescent="0.2">
      <c r="A418" t="s">
        <v>111</v>
      </c>
      <c r="B418" s="99"/>
    </row>
    <row r="419" spans="1:2" x14ac:dyDescent="0.2">
      <c r="A419" t="s">
        <v>112</v>
      </c>
      <c r="B419" s="99"/>
    </row>
    <row r="420" spans="1:2" x14ac:dyDescent="0.2">
      <c r="B420" s="99"/>
    </row>
    <row r="421" spans="1:2" x14ac:dyDescent="0.2">
      <c r="A421" t="s">
        <v>150</v>
      </c>
      <c r="B421" s="99"/>
    </row>
    <row r="422" spans="1:2" x14ac:dyDescent="0.2">
      <c r="A422" t="s">
        <v>118</v>
      </c>
      <c r="B422" s="99"/>
    </row>
    <row r="423" spans="1:2" x14ac:dyDescent="0.2">
      <c r="A423" t="s">
        <v>106</v>
      </c>
      <c r="B423" s="99"/>
    </row>
    <row r="424" spans="1:2" x14ac:dyDescent="0.2">
      <c r="A424" t="s">
        <v>107</v>
      </c>
      <c r="B424" s="99"/>
    </row>
    <row r="425" spans="1:2" x14ac:dyDescent="0.2">
      <c r="A425" t="s">
        <v>108</v>
      </c>
      <c r="B425" s="99"/>
    </row>
    <row r="426" spans="1:2" x14ac:dyDescent="0.2">
      <c r="A426" t="s">
        <v>109</v>
      </c>
      <c r="B426" s="99"/>
    </row>
    <row r="427" spans="1:2" x14ac:dyDescent="0.2">
      <c r="A427" t="s">
        <v>110</v>
      </c>
      <c r="B427" s="99"/>
    </row>
    <row r="428" spans="1:2" x14ac:dyDescent="0.2">
      <c r="A428" t="s">
        <v>111</v>
      </c>
      <c r="B428" s="99"/>
    </row>
    <row r="429" spans="1:2" x14ac:dyDescent="0.2">
      <c r="A429" t="s">
        <v>112</v>
      </c>
      <c r="B429" s="99"/>
    </row>
    <row r="430" spans="1:2" x14ac:dyDescent="0.2">
      <c r="B430" s="99"/>
    </row>
    <row r="431" spans="1:2" x14ac:dyDescent="0.2">
      <c r="A431" t="s">
        <v>151</v>
      </c>
      <c r="B431" s="99"/>
    </row>
    <row r="432" spans="1:2" x14ac:dyDescent="0.2">
      <c r="A432" t="s">
        <v>120</v>
      </c>
      <c r="B432" s="99"/>
    </row>
    <row r="433" spans="1:2" x14ac:dyDescent="0.2">
      <c r="A433" t="s">
        <v>106</v>
      </c>
      <c r="B433" s="99"/>
    </row>
    <row r="434" spans="1:2" x14ac:dyDescent="0.2">
      <c r="A434" t="s">
        <v>107</v>
      </c>
      <c r="B434" s="99"/>
    </row>
    <row r="435" spans="1:2" x14ac:dyDescent="0.2">
      <c r="A435" t="s">
        <v>108</v>
      </c>
      <c r="B435" s="99"/>
    </row>
    <row r="436" spans="1:2" x14ac:dyDescent="0.2">
      <c r="A436" t="s">
        <v>109</v>
      </c>
      <c r="B436" s="99"/>
    </row>
    <row r="437" spans="1:2" x14ac:dyDescent="0.2">
      <c r="A437" t="s">
        <v>110</v>
      </c>
      <c r="B437" s="99"/>
    </row>
    <row r="438" spans="1:2" x14ac:dyDescent="0.2">
      <c r="A438" t="s">
        <v>111</v>
      </c>
      <c r="B438" s="99"/>
    </row>
    <row r="439" spans="1:2" x14ac:dyDescent="0.2">
      <c r="A439" t="s">
        <v>112</v>
      </c>
      <c r="B439" s="99"/>
    </row>
    <row r="440" spans="1:2" x14ac:dyDescent="0.2">
      <c r="B440" s="99"/>
    </row>
    <row r="441" spans="1:2" x14ac:dyDescent="0.2">
      <c r="A441" t="s">
        <v>152</v>
      </c>
      <c r="B441" s="99"/>
    </row>
    <row r="442" spans="1:2" x14ac:dyDescent="0.2">
      <c r="A442" t="s">
        <v>140</v>
      </c>
      <c r="B442" s="99"/>
    </row>
    <row r="443" spans="1:2" x14ac:dyDescent="0.2">
      <c r="A443" t="s">
        <v>106</v>
      </c>
      <c r="B443" s="99"/>
    </row>
    <row r="444" spans="1:2" x14ac:dyDescent="0.2">
      <c r="A444" t="s">
        <v>107</v>
      </c>
      <c r="B444" s="99"/>
    </row>
    <row r="445" spans="1:2" x14ac:dyDescent="0.2">
      <c r="A445" t="s">
        <v>108</v>
      </c>
      <c r="B445" s="99"/>
    </row>
    <row r="446" spans="1:2" x14ac:dyDescent="0.2">
      <c r="A446" t="s">
        <v>109</v>
      </c>
      <c r="B446" s="99"/>
    </row>
    <row r="447" spans="1:2" x14ac:dyDescent="0.2">
      <c r="A447" t="s">
        <v>110</v>
      </c>
      <c r="B447" s="99"/>
    </row>
    <row r="448" spans="1:2" x14ac:dyDescent="0.2">
      <c r="A448" t="s">
        <v>111</v>
      </c>
      <c r="B448" s="99"/>
    </row>
    <row r="449" spans="1:2" x14ac:dyDescent="0.2">
      <c r="A449" t="s">
        <v>112</v>
      </c>
      <c r="B449" s="99"/>
    </row>
    <row r="450" spans="1:2" x14ac:dyDescent="0.2">
      <c r="B450" s="99"/>
    </row>
    <row r="451" spans="1:2" x14ac:dyDescent="0.2">
      <c r="A451" t="s">
        <v>153</v>
      </c>
      <c r="B451" s="99"/>
    </row>
    <row r="452" spans="1:2" x14ac:dyDescent="0.2">
      <c r="A452" t="s">
        <v>154</v>
      </c>
      <c r="B452" s="99"/>
    </row>
    <row r="453" spans="1:2" x14ac:dyDescent="0.2">
      <c r="A453" t="s">
        <v>155</v>
      </c>
      <c r="B453" s="99"/>
    </row>
    <row r="454" spans="1:2" x14ac:dyDescent="0.2">
      <c r="A454" t="s">
        <v>156</v>
      </c>
      <c r="B454" s="99"/>
    </row>
    <row r="455" spans="1:2" x14ac:dyDescent="0.2">
      <c r="A455" t="s">
        <v>118</v>
      </c>
      <c r="B455" s="99"/>
    </row>
    <row r="456" spans="1:2" x14ac:dyDescent="0.2">
      <c r="A456" t="s">
        <v>157</v>
      </c>
      <c r="B456" s="99"/>
    </row>
    <row r="457" spans="1:2" x14ac:dyDescent="0.2">
      <c r="A457" t="s">
        <v>158</v>
      </c>
      <c r="B457" s="99"/>
    </row>
    <row r="458" spans="1:2" x14ac:dyDescent="0.2">
      <c r="A458" t="s">
        <v>159</v>
      </c>
      <c r="B458" s="99"/>
    </row>
    <row r="459" spans="1:2" x14ac:dyDescent="0.2">
      <c r="A459" t="s">
        <v>160</v>
      </c>
      <c r="B459" s="99"/>
    </row>
    <row r="460" spans="1:2" x14ac:dyDescent="0.2">
      <c r="A460" t="s">
        <v>161</v>
      </c>
      <c r="B460" s="99"/>
    </row>
    <row r="461" spans="1:2" x14ac:dyDescent="0.2">
      <c r="B461" s="99"/>
    </row>
    <row r="462" spans="1:2" x14ac:dyDescent="0.2">
      <c r="A462" t="s">
        <v>162</v>
      </c>
      <c r="B462" s="99"/>
    </row>
    <row r="463" spans="1:2" x14ac:dyDescent="0.2">
      <c r="A463" t="s">
        <v>163</v>
      </c>
      <c r="B463" s="99"/>
    </row>
    <row r="464" spans="1:2" x14ac:dyDescent="0.2">
      <c r="A464" t="s">
        <v>164</v>
      </c>
      <c r="B464" s="99"/>
    </row>
    <row r="465" spans="1:2" x14ac:dyDescent="0.2">
      <c r="A465" t="s">
        <v>165</v>
      </c>
      <c r="B465" s="99"/>
    </row>
    <row r="466" spans="1:2" x14ac:dyDescent="0.2">
      <c r="A466" t="s">
        <v>107</v>
      </c>
      <c r="B466" s="99"/>
    </row>
    <row r="467" spans="1:2" x14ac:dyDescent="0.2">
      <c r="A467" t="s">
        <v>166</v>
      </c>
      <c r="B467" s="99"/>
    </row>
    <row r="468" spans="1:2" x14ac:dyDescent="0.2">
      <c r="A468" t="s">
        <v>160</v>
      </c>
      <c r="B468" s="99"/>
    </row>
    <row r="469" spans="1:2" x14ac:dyDescent="0.2">
      <c r="A469" t="s">
        <v>161</v>
      </c>
      <c r="B469" s="99"/>
    </row>
    <row r="470" spans="1:2" x14ac:dyDescent="0.2">
      <c r="B470" s="99"/>
    </row>
    <row r="471" spans="1:2" x14ac:dyDescent="0.2">
      <c r="A471" t="s">
        <v>167</v>
      </c>
      <c r="B471" s="99"/>
    </row>
    <row r="472" spans="1:2" x14ac:dyDescent="0.2">
      <c r="A472" t="s">
        <v>168</v>
      </c>
      <c r="B472" s="99"/>
    </row>
    <row r="473" spans="1:2" x14ac:dyDescent="0.2">
      <c r="A473" t="s">
        <v>169</v>
      </c>
      <c r="B473" s="99"/>
    </row>
    <row r="474" spans="1:2" x14ac:dyDescent="0.2">
      <c r="A474" t="s">
        <v>157</v>
      </c>
      <c r="B474" s="99"/>
    </row>
    <row r="475" spans="1:2" x14ac:dyDescent="0.2">
      <c r="A475" t="s">
        <v>170</v>
      </c>
      <c r="B475" s="99"/>
    </row>
    <row r="476" spans="1:2" x14ac:dyDescent="0.2">
      <c r="A476" t="s">
        <v>108</v>
      </c>
      <c r="B476" s="99"/>
    </row>
    <row r="477" spans="1:2" x14ac:dyDescent="0.2">
      <c r="A477" t="s">
        <v>160</v>
      </c>
      <c r="B477" s="99"/>
    </row>
    <row r="478" spans="1:2" x14ac:dyDescent="0.2">
      <c r="A478" t="s">
        <v>161</v>
      </c>
      <c r="B478" s="99"/>
    </row>
    <row r="479" spans="1:2" x14ac:dyDescent="0.2">
      <c r="B479" s="99"/>
    </row>
    <row r="480" spans="1:2" x14ac:dyDescent="0.2">
      <c r="A480" t="s">
        <v>171</v>
      </c>
      <c r="B480" s="99"/>
    </row>
    <row r="481" spans="1:2" x14ac:dyDescent="0.2">
      <c r="A481" t="s">
        <v>172</v>
      </c>
      <c r="B481" s="99"/>
    </row>
    <row r="482" spans="1:2" x14ac:dyDescent="0.2">
      <c r="A482" t="s">
        <v>282</v>
      </c>
      <c r="B482" s="99"/>
    </row>
    <row r="483" spans="1:2" x14ac:dyDescent="0.2">
      <c r="A483" t="s">
        <v>283</v>
      </c>
      <c r="B483" s="99"/>
    </row>
    <row r="484" spans="1:2" x14ac:dyDescent="0.2">
      <c r="A484" t="s">
        <v>173</v>
      </c>
      <c r="B484" s="99"/>
    </row>
    <row r="485" spans="1:2" x14ac:dyDescent="0.2">
      <c r="A485" t="s">
        <v>284</v>
      </c>
      <c r="B485" s="99"/>
    </row>
    <row r="486" spans="1:2" x14ac:dyDescent="0.2">
      <c r="A486" t="s">
        <v>285</v>
      </c>
      <c r="B486" s="99"/>
    </row>
    <row r="487" spans="1:2" x14ac:dyDescent="0.2">
      <c r="A487" t="s">
        <v>174</v>
      </c>
      <c r="B487" s="99"/>
    </row>
    <row r="488" spans="1:2" x14ac:dyDescent="0.2">
      <c r="A488" t="s">
        <v>286</v>
      </c>
      <c r="B488" s="99"/>
    </row>
    <row r="489" spans="1:2" x14ac:dyDescent="0.2">
      <c r="B489" s="99"/>
    </row>
    <row r="490" spans="1:2" x14ac:dyDescent="0.2">
      <c r="A490" t="s">
        <v>175</v>
      </c>
      <c r="B490" s="99"/>
    </row>
    <row r="491" spans="1:2" x14ac:dyDescent="0.2">
      <c r="A491" t="s">
        <v>176</v>
      </c>
      <c r="B491" s="99"/>
    </row>
    <row r="492" spans="1:2" x14ac:dyDescent="0.2">
      <c r="A492" t="s">
        <v>177</v>
      </c>
      <c r="B492" s="99"/>
    </row>
    <row r="493" spans="1:2" x14ac:dyDescent="0.2">
      <c r="B493" s="99"/>
    </row>
    <row r="494" spans="1:2" x14ac:dyDescent="0.2">
      <c r="A494" t="s">
        <v>178</v>
      </c>
      <c r="B494" s="99"/>
    </row>
    <row r="495" spans="1:2" x14ac:dyDescent="0.2">
      <c r="A495" t="s">
        <v>179</v>
      </c>
      <c r="B495" s="99"/>
    </row>
    <row r="496" spans="1:2" x14ac:dyDescent="0.2">
      <c r="A496" t="s">
        <v>180</v>
      </c>
      <c r="B496" s="99"/>
    </row>
    <row r="497" spans="1:2" x14ac:dyDescent="0.2">
      <c r="B497" s="99"/>
    </row>
    <row r="498" spans="1:2" x14ac:dyDescent="0.2">
      <c r="A498" t="s">
        <v>181</v>
      </c>
      <c r="B498" s="99"/>
    </row>
    <row r="499" spans="1:2" x14ac:dyDescent="0.2">
      <c r="A499" t="s">
        <v>182</v>
      </c>
      <c r="B499" s="99"/>
    </row>
    <row r="500" spans="1:2" x14ac:dyDescent="0.2">
      <c r="A500" t="s">
        <v>183</v>
      </c>
      <c r="B500" s="99"/>
    </row>
    <row r="501" spans="1:2" x14ac:dyDescent="0.2">
      <c r="B501" s="99"/>
    </row>
    <row r="502" spans="1:2" x14ac:dyDescent="0.2">
      <c r="A502" t="s">
        <v>184</v>
      </c>
      <c r="B502" s="99"/>
    </row>
    <row r="503" spans="1:2" x14ac:dyDescent="0.2">
      <c r="A503" t="s">
        <v>185</v>
      </c>
      <c r="B503" s="99"/>
    </row>
    <row r="504" spans="1:2" x14ac:dyDescent="0.2">
      <c r="A504" t="s">
        <v>180</v>
      </c>
      <c r="B504" s="99"/>
    </row>
    <row r="505" spans="1:2" x14ac:dyDescent="0.2">
      <c r="B505" s="99"/>
    </row>
    <row r="506" spans="1:2" x14ac:dyDescent="0.2">
      <c r="A506" t="s">
        <v>186</v>
      </c>
      <c r="B506" s="99"/>
    </row>
    <row r="507" spans="1:2" x14ac:dyDescent="0.2">
      <c r="A507" t="s">
        <v>182</v>
      </c>
      <c r="B507" s="99"/>
    </row>
    <row r="508" spans="1:2" x14ac:dyDescent="0.2">
      <c r="A508" t="s">
        <v>187</v>
      </c>
      <c r="B508" s="99"/>
    </row>
    <row r="509" spans="1:2" x14ac:dyDescent="0.2">
      <c r="B509" s="99"/>
    </row>
    <row r="510" spans="1:2" x14ac:dyDescent="0.2">
      <c r="A510" t="s">
        <v>188</v>
      </c>
      <c r="B510" s="99"/>
    </row>
    <row r="511" spans="1:2" x14ac:dyDescent="0.2">
      <c r="A511" t="s">
        <v>189</v>
      </c>
      <c r="B511" s="99"/>
    </row>
    <row r="512" spans="1:2" x14ac:dyDescent="0.2">
      <c r="A512" t="s">
        <v>190</v>
      </c>
      <c r="B512" s="99"/>
    </row>
    <row r="513" spans="1:5" x14ac:dyDescent="0.2">
      <c r="B513" s="99"/>
    </row>
    <row r="514" spans="1:5" x14ac:dyDescent="0.2">
      <c r="A514" t="s">
        <v>191</v>
      </c>
      <c r="B514" s="99"/>
    </row>
    <row r="515" spans="1:5" x14ac:dyDescent="0.2">
      <c r="A515" t="s">
        <v>182</v>
      </c>
      <c r="B515" s="99"/>
    </row>
    <row r="516" spans="1:5" x14ac:dyDescent="0.2">
      <c r="A516" t="s">
        <v>192</v>
      </c>
      <c r="B516" s="99"/>
    </row>
    <row r="517" spans="1:5" x14ac:dyDescent="0.2">
      <c r="B517" s="99"/>
    </row>
    <row r="518" spans="1:5" x14ac:dyDescent="0.2">
      <c r="A518" t="s">
        <v>193</v>
      </c>
      <c r="B518" s="99"/>
    </row>
    <row r="519" spans="1:5" x14ac:dyDescent="0.2">
      <c r="A519" t="s">
        <v>182</v>
      </c>
      <c r="B519" s="99"/>
    </row>
    <row r="520" spans="1:5" x14ac:dyDescent="0.2">
      <c r="A520" t="s">
        <v>194</v>
      </c>
      <c r="B520" s="99"/>
    </row>
    <row r="521" spans="1:5" x14ac:dyDescent="0.2">
      <c r="B521" s="99"/>
    </row>
    <row r="522" spans="1:5" x14ac:dyDescent="0.2">
      <c r="A522" t="s">
        <v>195</v>
      </c>
      <c r="B522" s="99"/>
    </row>
    <row r="523" spans="1:5" x14ac:dyDescent="0.2">
      <c r="A523" t="s">
        <v>196</v>
      </c>
      <c r="B523" s="99"/>
    </row>
    <row r="524" spans="1:5" x14ac:dyDescent="0.2">
      <c r="A524" t="s">
        <v>177</v>
      </c>
      <c r="B524" s="99"/>
    </row>
    <row r="525" spans="1:5" x14ac:dyDescent="0.2">
      <c r="B525" s="99"/>
    </row>
    <row r="526" spans="1:5" x14ac:dyDescent="0.2">
      <c r="A526" t="s">
        <v>197</v>
      </c>
      <c r="B526" s="99"/>
      <c r="D526" s="100" t="b">
        <v>1</v>
      </c>
      <c r="E526" s="101" t="s">
        <v>705</v>
      </c>
    </row>
    <row r="527" spans="1:5" x14ac:dyDescent="0.2">
      <c r="A527" s="11" t="str">
        <f t="shared" ref="A527:A546" si="0">E527&amp;"="&amp;D527</f>
        <v>Time=TRUE</v>
      </c>
      <c r="B527" s="99"/>
      <c r="C527" s="17" t="s">
        <v>247</v>
      </c>
      <c r="D527" s="18" t="s">
        <v>248</v>
      </c>
      <c r="E527" s="37" t="s">
        <v>257</v>
      </c>
    </row>
    <row r="528" spans="1:5" x14ac:dyDescent="0.2">
      <c r="A528" s="11" t="str">
        <f t="shared" si="0"/>
        <v>1 Rev=TRUE</v>
      </c>
      <c r="B528" s="99"/>
      <c r="C528" s="17" t="s">
        <v>247</v>
      </c>
      <c r="D528" s="18" t="s">
        <v>248</v>
      </c>
      <c r="E528" s="37" t="s">
        <v>258</v>
      </c>
    </row>
    <row r="529" spans="1:5" x14ac:dyDescent="0.2">
      <c r="A529" s="11" t="str">
        <f t="shared" si="0"/>
        <v>LoRes=TRUE</v>
      </c>
      <c r="B529" s="99"/>
      <c r="C529" s="17" t="s">
        <v>247</v>
      </c>
      <c r="D529" s="18" t="b">
        <f>$D$526</f>
        <v>1</v>
      </c>
      <c r="E529" s="37" t="s">
        <v>259</v>
      </c>
    </row>
    <row r="530" spans="1:5" x14ac:dyDescent="0.2">
      <c r="A530" s="11" t="str">
        <f t="shared" si="0"/>
        <v>HiRes=TRUE</v>
      </c>
      <c r="B530" s="99"/>
      <c r="C530" s="17" t="s">
        <v>247</v>
      </c>
      <c r="D530" s="18" t="s">
        <v>248</v>
      </c>
      <c r="E530" s="37" t="s">
        <v>260</v>
      </c>
    </row>
    <row r="531" spans="1:5" x14ac:dyDescent="0.2">
      <c r="A531" s="11" t="str">
        <f t="shared" si="0"/>
        <v>ZModLoTime=TRUE</v>
      </c>
      <c r="B531" s="99"/>
      <c r="C531" s="17" t="s">
        <v>247</v>
      </c>
      <c r="D531" s="18" t="b">
        <f>$D$526</f>
        <v>1</v>
      </c>
      <c r="E531" s="37" t="s">
        <v>261</v>
      </c>
    </row>
    <row r="532" spans="1:5" x14ac:dyDescent="0.2">
      <c r="A532" s="11" t="str">
        <f t="shared" si="0"/>
        <v>ZModHiTime=TRUE</v>
      </c>
      <c r="B532" s="99"/>
      <c r="C532" s="17" t="s">
        <v>247</v>
      </c>
      <c r="D532" s="18" t="s">
        <v>248</v>
      </c>
      <c r="E532" s="37" t="s">
        <v>262</v>
      </c>
    </row>
    <row r="533" spans="1:5" x14ac:dyDescent="0.2">
      <c r="A533" s="11" t="str">
        <f t="shared" si="0"/>
        <v>ZModLoRPM=TRUE</v>
      </c>
      <c r="B533" s="99"/>
      <c r="C533" s="17" t="s">
        <v>247</v>
      </c>
      <c r="D533" s="18" t="b">
        <f>$D$526</f>
        <v>1</v>
      </c>
      <c r="E533" s="37" t="s">
        <v>263</v>
      </c>
    </row>
    <row r="534" spans="1:5" x14ac:dyDescent="0.2">
      <c r="A534" s="11" t="str">
        <f t="shared" si="0"/>
        <v>ZModHiRPM=TRUE</v>
      </c>
      <c r="B534" s="99"/>
      <c r="C534" s="17" t="s">
        <v>247</v>
      </c>
      <c r="D534" s="18" t="s">
        <v>248</v>
      </c>
      <c r="E534" s="37" t="s">
        <v>264</v>
      </c>
    </row>
    <row r="535" spans="1:5" x14ac:dyDescent="0.2">
      <c r="A535" s="11" t="str">
        <f t="shared" si="0"/>
        <v>CampbellLo=TRUE</v>
      </c>
      <c r="B535" s="99"/>
      <c r="C535" s="17" t="s">
        <v>247</v>
      </c>
      <c r="D535" s="18" t="b">
        <f>$D$526</f>
        <v>1</v>
      </c>
      <c r="E535" s="37" t="s">
        <v>265</v>
      </c>
    </row>
    <row r="536" spans="1:5" x14ac:dyDescent="0.2">
      <c r="A536" s="11" t="str">
        <f t="shared" si="0"/>
        <v>CampbellHi=TRUE</v>
      </c>
      <c r="B536" s="99"/>
      <c r="C536" s="17" t="s">
        <v>247</v>
      </c>
      <c r="D536" s="18" t="s">
        <v>248</v>
      </c>
      <c r="E536" s="37" t="s">
        <v>266</v>
      </c>
    </row>
    <row r="537" spans="1:5" x14ac:dyDescent="0.2">
      <c r="A537" s="11" t="str">
        <f t="shared" si="0"/>
        <v>OrderTrackLo=TRUE</v>
      </c>
      <c r="B537" s="99"/>
      <c r="C537" s="17" t="s">
        <v>247</v>
      </c>
      <c r="D537" s="18" t="b">
        <f>$D$526</f>
        <v>1</v>
      </c>
      <c r="E537" s="37" t="s">
        <v>267</v>
      </c>
    </row>
    <row r="538" spans="1:5" x14ac:dyDescent="0.2">
      <c r="A538" s="11" t="str">
        <f t="shared" si="0"/>
        <v>OrderTrackHi=TRUE</v>
      </c>
      <c r="B538" s="99"/>
      <c r="C538" s="17" t="s">
        <v>247</v>
      </c>
      <c r="D538" s="18" t="s">
        <v>248</v>
      </c>
      <c r="E538" s="37" t="s">
        <v>268</v>
      </c>
    </row>
    <row r="539" spans="1:5" x14ac:dyDescent="0.2">
      <c r="A539" s="11" t="str">
        <f t="shared" si="0"/>
        <v>Lissajous=TRUE</v>
      </c>
      <c r="B539" s="99"/>
      <c r="C539" s="17" t="s">
        <v>247</v>
      </c>
      <c r="D539" s="18" t="s">
        <v>248</v>
      </c>
      <c r="E539" s="37" t="s">
        <v>269</v>
      </c>
    </row>
    <row r="540" spans="1:5" x14ac:dyDescent="0.2">
      <c r="A540" s="11" t="str">
        <f t="shared" si="0"/>
        <v>NthOctave=FALSE</v>
      </c>
      <c r="B540" s="99"/>
      <c r="C540" s="17" t="s">
        <v>247</v>
      </c>
      <c r="D540" s="18" t="b">
        <v>0</v>
      </c>
      <c r="E540" s="37" t="s">
        <v>270</v>
      </c>
    </row>
    <row r="541" spans="1:5" x14ac:dyDescent="0.2">
      <c r="A541" s="11" t="str">
        <f t="shared" si="0"/>
        <v>Waterfall=FALSE</v>
      </c>
      <c r="B541" s="99"/>
      <c r="C541" s="17" t="s">
        <v>247</v>
      </c>
      <c r="D541" s="18" t="b">
        <v>0</v>
      </c>
      <c r="E541" s="37" t="s">
        <v>271</v>
      </c>
    </row>
    <row r="542" spans="1:5" x14ac:dyDescent="0.2">
      <c r="A542" s="11" t="str">
        <f t="shared" si="0"/>
        <v>Wfall-RPM=FALSE</v>
      </c>
      <c r="B542" s="99"/>
      <c r="C542" s="17" t="s">
        <v>247</v>
      </c>
      <c r="D542" s="18" t="b">
        <v>0</v>
      </c>
      <c r="E542" s="37" t="s">
        <v>272</v>
      </c>
    </row>
    <row r="543" spans="1:5" x14ac:dyDescent="0.2">
      <c r="A543" s="11" t="str">
        <f t="shared" si="0"/>
        <v>Bode=TRUE</v>
      </c>
      <c r="B543" s="99"/>
      <c r="C543" s="17" t="s">
        <v>247</v>
      </c>
      <c r="D543" s="18" t="b">
        <v>1</v>
      </c>
      <c r="E543" s="37" t="s">
        <v>273</v>
      </c>
    </row>
    <row r="544" spans="1:5" x14ac:dyDescent="0.2">
      <c r="A544" s="11" t="str">
        <f t="shared" si="0"/>
        <v>StripChart=TRUE</v>
      </c>
      <c r="B544" s="99"/>
      <c r="C544" s="17" t="s">
        <v>247</v>
      </c>
      <c r="D544" s="18" t="s">
        <v>248</v>
      </c>
      <c r="E544" s="37" t="s">
        <v>274</v>
      </c>
    </row>
    <row r="545" spans="1:5" x14ac:dyDescent="0.2">
      <c r="A545" s="11" t="str">
        <f t="shared" si="0"/>
        <v>FeatureTrack=FALSE</v>
      </c>
      <c r="B545" s="99"/>
      <c r="C545" s="17" t="s">
        <v>247</v>
      </c>
      <c r="D545" s="18" t="b">
        <v>0</v>
      </c>
      <c r="E545" s="37" t="s">
        <v>275</v>
      </c>
    </row>
    <row r="546" spans="1:5" x14ac:dyDescent="0.2">
      <c r="A546" s="11" t="str">
        <f t="shared" si="0"/>
        <v>TF=FALSE</v>
      </c>
      <c r="B546" s="99"/>
      <c r="C546" s="17" t="s">
        <v>247</v>
      </c>
      <c r="D546" s="18" t="b">
        <v>0</v>
      </c>
      <c r="E546" s="37" t="s">
        <v>276</v>
      </c>
    </row>
    <row r="547" spans="1:5" x14ac:dyDescent="0.2">
      <c r="B547" s="99"/>
    </row>
    <row r="548" spans="1:5" x14ac:dyDescent="0.2">
      <c r="A548" t="s">
        <v>198</v>
      </c>
      <c r="B548" s="99"/>
    </row>
    <row r="549" spans="1:5" x14ac:dyDescent="0.2">
      <c r="A549" t="s">
        <v>199</v>
      </c>
      <c r="B549" s="99"/>
    </row>
    <row r="550" spans="1:5" x14ac:dyDescent="0.2">
      <c r="A550" t="s">
        <v>200</v>
      </c>
      <c r="B550" s="99"/>
    </row>
    <row r="551" spans="1:5" x14ac:dyDescent="0.2">
      <c r="A551" t="s">
        <v>201</v>
      </c>
      <c r="B551" s="99"/>
    </row>
    <row r="552" spans="1:5" x14ac:dyDescent="0.2">
      <c r="A552" t="s">
        <v>202</v>
      </c>
      <c r="B552" s="99"/>
    </row>
    <row r="553" spans="1:5" x14ac:dyDescent="0.2">
      <c r="A553" t="s">
        <v>203</v>
      </c>
      <c r="B553" s="99"/>
    </row>
    <row r="554" spans="1:5" x14ac:dyDescent="0.2">
      <c r="A554" t="s">
        <v>604</v>
      </c>
      <c r="B554" s="99"/>
    </row>
    <row r="555" spans="1:5" x14ac:dyDescent="0.2">
      <c r="B555" s="99"/>
    </row>
    <row r="556" spans="1:5" x14ac:dyDescent="0.2">
      <c r="A556" t="s">
        <v>204</v>
      </c>
      <c r="B556" s="99"/>
    </row>
    <row r="557" spans="1:5" x14ac:dyDescent="0.2">
      <c r="A557" t="s">
        <v>205</v>
      </c>
      <c r="B557" s="99"/>
    </row>
    <row r="558" spans="1:5" x14ac:dyDescent="0.2">
      <c r="A558" t="s">
        <v>206</v>
      </c>
      <c r="B558" s="99"/>
    </row>
    <row r="559" spans="1:5" x14ac:dyDescent="0.2">
      <c r="A559" t="s">
        <v>201</v>
      </c>
      <c r="B559" s="99"/>
    </row>
    <row r="560" spans="1:5" x14ac:dyDescent="0.2">
      <c r="A560" t="s">
        <v>202</v>
      </c>
      <c r="B560" s="99"/>
    </row>
    <row r="561" spans="1:2" x14ac:dyDescent="0.2">
      <c r="A561" t="s">
        <v>203</v>
      </c>
      <c r="B561" s="99"/>
    </row>
    <row r="562" spans="1:2" x14ac:dyDescent="0.2">
      <c r="B562" s="99"/>
    </row>
    <row r="563" spans="1:2" x14ac:dyDescent="0.2">
      <c r="A563" t="s">
        <v>207</v>
      </c>
      <c r="B563" s="99"/>
    </row>
    <row r="564" spans="1:2" x14ac:dyDescent="0.2">
      <c r="A564" t="s">
        <v>208</v>
      </c>
      <c r="B564" s="99"/>
    </row>
    <row r="565" spans="1:2" x14ac:dyDescent="0.2">
      <c r="A565" t="s">
        <v>209</v>
      </c>
      <c r="B565" s="99"/>
    </row>
    <row r="566" spans="1:2" x14ac:dyDescent="0.2">
      <c r="A566" t="s">
        <v>210</v>
      </c>
      <c r="B566" s="99"/>
    </row>
    <row r="567" spans="1:2" x14ac:dyDescent="0.2">
      <c r="A567" t="s">
        <v>211</v>
      </c>
      <c r="B567" s="99"/>
    </row>
    <row r="568" spans="1:2" x14ac:dyDescent="0.2">
      <c r="A568" t="s">
        <v>212</v>
      </c>
      <c r="B568" s="99"/>
    </row>
    <row r="569" spans="1:2" x14ac:dyDescent="0.2">
      <c r="A569" t="s">
        <v>213</v>
      </c>
      <c r="B569" s="99"/>
    </row>
    <row r="570" spans="1:2" x14ac:dyDescent="0.2">
      <c r="A570" t="s">
        <v>214</v>
      </c>
      <c r="B570" s="99"/>
    </row>
    <row r="571" spans="1:2" x14ac:dyDescent="0.2">
      <c r="A571" t="s">
        <v>215</v>
      </c>
      <c r="B571" s="99"/>
    </row>
    <row r="572" spans="1:2" x14ac:dyDescent="0.2">
      <c r="A572" t="s">
        <v>216</v>
      </c>
      <c r="B572" s="99"/>
    </row>
    <row r="573" spans="1:2" x14ac:dyDescent="0.2">
      <c r="A573" t="s">
        <v>217</v>
      </c>
      <c r="B573" s="99"/>
    </row>
    <row r="574" spans="1:2" x14ac:dyDescent="0.2">
      <c r="A574" t="s">
        <v>218</v>
      </c>
      <c r="B574" s="99"/>
    </row>
    <row r="575" spans="1:2" x14ac:dyDescent="0.2">
      <c r="A575" t="s">
        <v>219</v>
      </c>
      <c r="B575" s="99"/>
    </row>
    <row r="576" spans="1:2" x14ac:dyDescent="0.2">
      <c r="A576" t="s">
        <v>220</v>
      </c>
      <c r="B576" s="99"/>
    </row>
    <row r="577" spans="1:5" x14ac:dyDescent="0.2">
      <c r="A577" t="s">
        <v>221</v>
      </c>
      <c r="B577" s="99"/>
    </row>
    <row r="578" spans="1:5" x14ac:dyDescent="0.2">
      <c r="A578" t="s">
        <v>222</v>
      </c>
      <c r="B578" s="99"/>
    </row>
    <row r="579" spans="1:5" x14ac:dyDescent="0.2">
      <c r="A579" t="s">
        <v>223</v>
      </c>
      <c r="B579" s="99"/>
    </row>
    <row r="580" spans="1:5" x14ac:dyDescent="0.2">
      <c r="B580" s="99"/>
    </row>
    <row r="581" spans="1:5" x14ac:dyDescent="0.2">
      <c r="A581" t="s">
        <v>224</v>
      </c>
      <c r="B581" s="99"/>
    </row>
    <row r="582" spans="1:5" x14ac:dyDescent="0.2">
      <c r="A582" s="11" t="str">
        <f t="shared" ref="A582:A601" si="1">E582&amp;"="&amp;D582</f>
        <v>Time=TRUE</v>
      </c>
      <c r="B582" s="99"/>
      <c r="C582" s="17" t="s">
        <v>247</v>
      </c>
      <c r="D582" s="18" t="s">
        <v>248</v>
      </c>
      <c r="E582" s="37" t="s">
        <v>257</v>
      </c>
    </row>
    <row r="583" spans="1:5" x14ac:dyDescent="0.2">
      <c r="A583" s="11" t="str">
        <f t="shared" si="1"/>
        <v>1 Rev=TRUE</v>
      </c>
      <c r="B583" s="99"/>
      <c r="C583" s="17" t="s">
        <v>247</v>
      </c>
      <c r="D583" s="18" t="s">
        <v>248</v>
      </c>
      <c r="E583" s="37" t="s">
        <v>258</v>
      </c>
    </row>
    <row r="584" spans="1:5" x14ac:dyDescent="0.2">
      <c r="A584" s="11" t="str">
        <f t="shared" si="1"/>
        <v>LoRes=TRUE</v>
      </c>
      <c r="B584" s="99"/>
      <c r="C584" s="17" t="s">
        <v>247</v>
      </c>
      <c r="D584" s="18" t="s">
        <v>248</v>
      </c>
      <c r="E584" s="37" t="s">
        <v>259</v>
      </c>
    </row>
    <row r="585" spans="1:5" x14ac:dyDescent="0.2">
      <c r="A585" s="11" t="str">
        <f t="shared" si="1"/>
        <v>HiRes=TRUE</v>
      </c>
      <c r="B585" s="99"/>
      <c r="C585" s="17" t="s">
        <v>247</v>
      </c>
      <c r="D585" s="18" t="s">
        <v>248</v>
      </c>
      <c r="E585" s="37" t="s">
        <v>260</v>
      </c>
    </row>
    <row r="586" spans="1:5" x14ac:dyDescent="0.2">
      <c r="A586" s="11" t="str">
        <f t="shared" si="1"/>
        <v>ZModLoTime=TRUE</v>
      </c>
      <c r="B586" s="99"/>
      <c r="C586" s="17" t="s">
        <v>247</v>
      </c>
      <c r="D586" s="18" t="s">
        <v>248</v>
      </c>
      <c r="E586" s="37" t="s">
        <v>261</v>
      </c>
    </row>
    <row r="587" spans="1:5" x14ac:dyDescent="0.2">
      <c r="A587" s="11" t="str">
        <f t="shared" si="1"/>
        <v>ZModHiTime=TRUE</v>
      </c>
      <c r="B587" s="99"/>
      <c r="C587" s="17" t="s">
        <v>247</v>
      </c>
      <c r="D587" s="18" t="s">
        <v>248</v>
      </c>
      <c r="E587" s="37" t="s">
        <v>262</v>
      </c>
    </row>
    <row r="588" spans="1:5" x14ac:dyDescent="0.2">
      <c r="A588" s="11" t="str">
        <f t="shared" si="1"/>
        <v>ZModLoRPM=TRUE</v>
      </c>
      <c r="B588" s="99"/>
      <c r="C588" s="17" t="s">
        <v>247</v>
      </c>
      <c r="D588" s="18" t="s">
        <v>248</v>
      </c>
      <c r="E588" s="37" t="s">
        <v>263</v>
      </c>
    </row>
    <row r="589" spans="1:5" x14ac:dyDescent="0.2">
      <c r="A589" s="11" t="str">
        <f t="shared" si="1"/>
        <v>ZModHiRPM=TRUE</v>
      </c>
      <c r="B589" s="99"/>
      <c r="C589" s="17" t="s">
        <v>247</v>
      </c>
      <c r="D589" s="18" t="s">
        <v>248</v>
      </c>
      <c r="E589" s="37" t="s">
        <v>264</v>
      </c>
    </row>
    <row r="590" spans="1:5" x14ac:dyDescent="0.2">
      <c r="A590" s="11" t="str">
        <f t="shared" si="1"/>
        <v>CampbellLo=TRUE</v>
      </c>
      <c r="B590" s="99"/>
      <c r="C590" s="17" t="s">
        <v>247</v>
      </c>
      <c r="D590" s="18" t="s">
        <v>248</v>
      </c>
      <c r="E590" s="37" t="s">
        <v>265</v>
      </c>
    </row>
    <row r="591" spans="1:5" x14ac:dyDescent="0.2">
      <c r="A591" s="11" t="str">
        <f t="shared" si="1"/>
        <v>CampbellHi=TRUE</v>
      </c>
      <c r="B591" s="99"/>
      <c r="C591" s="17" t="s">
        <v>247</v>
      </c>
      <c r="D591" s="18" t="s">
        <v>248</v>
      </c>
      <c r="E591" s="37" t="s">
        <v>266</v>
      </c>
    </row>
    <row r="592" spans="1:5" x14ac:dyDescent="0.2">
      <c r="A592" s="11" t="str">
        <f t="shared" si="1"/>
        <v>OrderTrackLo=TRUE</v>
      </c>
      <c r="B592" s="99"/>
      <c r="C592" s="17" t="s">
        <v>247</v>
      </c>
      <c r="D592" s="18" t="s">
        <v>248</v>
      </c>
      <c r="E592" s="37" t="s">
        <v>267</v>
      </c>
    </row>
    <row r="593" spans="1:5" x14ac:dyDescent="0.2">
      <c r="A593" s="11" t="str">
        <f t="shared" si="1"/>
        <v>OrderTrackHi=TRUE</v>
      </c>
      <c r="B593" s="99"/>
      <c r="C593" s="17" t="s">
        <v>247</v>
      </c>
      <c r="D593" s="18" t="s">
        <v>248</v>
      </c>
      <c r="E593" s="37" t="s">
        <v>268</v>
      </c>
    </row>
    <row r="594" spans="1:5" x14ac:dyDescent="0.2">
      <c r="A594" s="11" t="str">
        <f t="shared" si="1"/>
        <v>Lissajous=TRUE</v>
      </c>
      <c r="B594" s="99"/>
      <c r="C594" s="17" t="s">
        <v>247</v>
      </c>
      <c r="D594" s="18" t="s">
        <v>248</v>
      </c>
      <c r="E594" s="37" t="s">
        <v>269</v>
      </c>
    </row>
    <row r="595" spans="1:5" x14ac:dyDescent="0.2">
      <c r="A595" s="11" t="str">
        <f t="shared" si="1"/>
        <v>NthOctave=FALSE</v>
      </c>
      <c r="B595" s="99"/>
      <c r="C595" s="17" t="s">
        <v>247</v>
      </c>
      <c r="D595" s="18" t="b">
        <v>0</v>
      </c>
      <c r="E595" s="37" t="s">
        <v>270</v>
      </c>
    </row>
    <row r="596" spans="1:5" x14ac:dyDescent="0.2">
      <c r="A596" s="11" t="str">
        <f t="shared" si="1"/>
        <v>Waterfall=TRUE</v>
      </c>
      <c r="B596" s="99"/>
      <c r="C596" s="17" t="s">
        <v>247</v>
      </c>
      <c r="D596" s="18" t="s">
        <v>248</v>
      </c>
      <c r="E596" s="37" t="s">
        <v>271</v>
      </c>
    </row>
    <row r="597" spans="1:5" x14ac:dyDescent="0.2">
      <c r="A597" s="11" t="str">
        <f t="shared" si="1"/>
        <v>Wfall-RPM=TRUE</v>
      </c>
      <c r="B597" s="99"/>
      <c r="C597" s="17" t="s">
        <v>247</v>
      </c>
      <c r="D597" s="18" t="s">
        <v>248</v>
      </c>
      <c r="E597" s="37" t="s">
        <v>272</v>
      </c>
    </row>
    <row r="598" spans="1:5" x14ac:dyDescent="0.2">
      <c r="A598" s="11" t="str">
        <f t="shared" si="1"/>
        <v>Bode=TRUE</v>
      </c>
      <c r="B598" s="99"/>
      <c r="C598" s="17" t="s">
        <v>247</v>
      </c>
      <c r="D598" s="18" t="b">
        <v>1</v>
      </c>
      <c r="E598" s="37" t="s">
        <v>273</v>
      </c>
    </row>
    <row r="599" spans="1:5" x14ac:dyDescent="0.2">
      <c r="A599" s="11" t="str">
        <f t="shared" si="1"/>
        <v>StripChart=TRUE</v>
      </c>
      <c r="B599" s="99"/>
      <c r="C599" s="17" t="s">
        <v>247</v>
      </c>
      <c r="D599" s="18" t="s">
        <v>248</v>
      </c>
      <c r="E599" s="37" t="s">
        <v>274</v>
      </c>
    </row>
    <row r="600" spans="1:5" x14ac:dyDescent="0.2">
      <c r="A600" s="11" t="str">
        <f t="shared" si="1"/>
        <v>FeatureTrack=FALSE</v>
      </c>
      <c r="B600" s="99"/>
      <c r="C600" s="17" t="s">
        <v>247</v>
      </c>
      <c r="D600" s="18" t="b">
        <v>0</v>
      </c>
      <c r="E600" s="37" t="s">
        <v>275</v>
      </c>
    </row>
    <row r="601" spans="1:5" x14ac:dyDescent="0.2">
      <c r="A601" s="11" t="str">
        <f t="shared" si="1"/>
        <v>TF=FALSE</v>
      </c>
      <c r="B601" s="99"/>
      <c r="C601" s="17" t="s">
        <v>247</v>
      </c>
      <c r="D601" s="18" t="b">
        <v>0</v>
      </c>
      <c r="E601" s="37" t="s">
        <v>276</v>
      </c>
    </row>
    <row r="602" spans="1:5" x14ac:dyDescent="0.2">
      <c r="B602" s="99"/>
    </row>
    <row r="603" spans="1:5" x14ac:dyDescent="0.2">
      <c r="A603" t="s">
        <v>225</v>
      </c>
      <c r="B603" s="99"/>
    </row>
    <row r="604" spans="1:5" x14ac:dyDescent="0.2">
      <c r="A604" t="s">
        <v>226</v>
      </c>
      <c r="B604" s="99"/>
    </row>
    <row r="605" spans="1:5" x14ac:dyDescent="0.2">
      <c r="A605" t="s">
        <v>214</v>
      </c>
      <c r="B605" s="99"/>
    </row>
    <row r="606" spans="1:5" x14ac:dyDescent="0.2">
      <c r="A606" t="s">
        <v>215</v>
      </c>
      <c r="B606" s="99"/>
    </row>
    <row r="607" spans="1:5" x14ac:dyDescent="0.2">
      <c r="A607" t="s">
        <v>208</v>
      </c>
      <c r="B607" s="99"/>
    </row>
    <row r="608" spans="1:5" x14ac:dyDescent="0.2">
      <c r="A608" t="s">
        <v>209</v>
      </c>
      <c r="B608" s="99"/>
    </row>
    <row r="609" spans="1:13" x14ac:dyDescent="0.2">
      <c r="A609" t="s">
        <v>210</v>
      </c>
      <c r="B609" s="99"/>
    </row>
    <row r="610" spans="1:13" x14ac:dyDescent="0.2">
      <c r="A610" t="s">
        <v>213</v>
      </c>
      <c r="B610" s="99"/>
    </row>
    <row r="611" spans="1:13" x14ac:dyDescent="0.2">
      <c r="A611" t="s">
        <v>212</v>
      </c>
      <c r="B611" s="99"/>
    </row>
    <row r="612" spans="1:13" x14ac:dyDescent="0.2">
      <c r="A612" t="s">
        <v>211</v>
      </c>
      <c r="B612" s="99"/>
    </row>
    <row r="613" spans="1:13" x14ac:dyDescent="0.2">
      <c r="A613" t="s">
        <v>227</v>
      </c>
      <c r="B613" s="99"/>
    </row>
    <row r="614" spans="1:13" x14ac:dyDescent="0.2">
      <c r="A614" t="s">
        <v>228</v>
      </c>
      <c r="B614" s="99"/>
    </row>
    <row r="615" spans="1:13" x14ac:dyDescent="0.2">
      <c r="A615" t="s">
        <v>218</v>
      </c>
      <c r="B615" s="99"/>
    </row>
    <row r="616" spans="1:13" x14ac:dyDescent="0.2">
      <c r="A616" t="s">
        <v>219</v>
      </c>
      <c r="B616" s="99"/>
    </row>
    <row r="617" spans="1:13" x14ac:dyDescent="0.2">
      <c r="A617" t="s">
        <v>220</v>
      </c>
      <c r="B617" s="99"/>
    </row>
    <row r="618" spans="1:13" x14ac:dyDescent="0.2">
      <c r="A618" t="s">
        <v>221</v>
      </c>
      <c r="B618" s="99"/>
    </row>
    <row r="619" spans="1:13" x14ac:dyDescent="0.2">
      <c r="A619" t="s">
        <v>229</v>
      </c>
      <c r="B619" s="99"/>
    </row>
    <row r="620" spans="1:13" x14ac:dyDescent="0.2">
      <c r="A620" t="s">
        <v>223</v>
      </c>
      <c r="B620" s="99"/>
    </row>
    <row r="621" spans="1:13" x14ac:dyDescent="0.2">
      <c r="A621" t="s">
        <v>230</v>
      </c>
      <c r="B621" s="99"/>
    </row>
    <row r="622" spans="1:13" ht="13.5" x14ac:dyDescent="0.25">
      <c r="A622" t="s">
        <v>231</v>
      </c>
      <c r="B622" s="99"/>
      <c r="E622" s="84" t="s">
        <v>702</v>
      </c>
      <c r="F622" s="81"/>
      <c r="G622" s="81"/>
      <c r="H622" s="82">
        <v>16777216</v>
      </c>
      <c r="I622" s="83" t="str">
        <f>"0x"&amp;DEC2HEX(H622,7)</f>
        <v>0x1000000</v>
      </c>
      <c r="J622" s="77"/>
      <c r="K622" s="78" t="str">
        <f>MID(I622,4,2)</f>
        <v>00</v>
      </c>
      <c r="L622" s="79" t="str">
        <f>MID(I622,6,2)</f>
        <v>00</v>
      </c>
      <c r="M622" s="80" t="str">
        <f>RIGHT(I622,2)</f>
        <v>00</v>
      </c>
    </row>
    <row r="623" spans="1:13" x14ac:dyDescent="0.2">
      <c r="B623" s="99"/>
    </row>
    <row r="624" spans="1:13" x14ac:dyDescent="0.2">
      <c r="A624" t="s">
        <v>232</v>
      </c>
      <c r="B624" s="90"/>
      <c r="C624" s="37" t="s">
        <v>703</v>
      </c>
      <c r="E624" s="66" t="s">
        <v>701</v>
      </c>
      <c r="G624" s="235" t="s">
        <v>704</v>
      </c>
      <c r="H624" s="236"/>
      <c r="I624" s="236"/>
      <c r="J624" s="236"/>
      <c r="K624" s="236"/>
      <c r="L624" s="236"/>
      <c r="M624" s="237"/>
    </row>
    <row r="625" spans="1:13" ht="13.5" x14ac:dyDescent="0.25">
      <c r="A625" s="11" t="str">
        <f>"Color="&amp;IF('Display Config'!$H$32&gt;=C625,E625,1677216)</f>
        <v>Color=12566274</v>
      </c>
      <c r="B625" s="99" t="s">
        <v>247</v>
      </c>
      <c r="C625" s="3">
        <v>1</v>
      </c>
      <c r="E625" s="3">
        <v>12566274</v>
      </c>
      <c r="G625" s="85"/>
      <c r="H625" s="102">
        <f>HEX2DEC(I625)</f>
        <v>12566274</v>
      </c>
      <c r="I625" s="92" t="str">
        <f>DEC2HEX(K625*255,2)&amp;DEC2HEX(L625*255,2)&amp;DEC2HEX(M625*255,2)</f>
        <v>BFBF02</v>
      </c>
      <c r="J625" s="86"/>
      <c r="K625" s="87">
        <v>0.75</v>
      </c>
      <c r="L625" s="88">
        <v>0.75</v>
      </c>
      <c r="M625" s="89">
        <v>0.01</v>
      </c>
    </row>
    <row r="626" spans="1:13" x14ac:dyDescent="0.2">
      <c r="A626" t="s">
        <v>166</v>
      </c>
      <c r="B626" s="99"/>
      <c r="C626" s="3"/>
      <c r="G626" s="90"/>
      <c r="H626" s="103"/>
      <c r="I626" s="49"/>
      <c r="J626" s="49"/>
      <c r="K626" s="49"/>
      <c r="L626" s="49"/>
      <c r="M626" s="91"/>
    </row>
    <row r="627" spans="1:13" x14ac:dyDescent="0.2">
      <c r="A627" t="s">
        <v>160</v>
      </c>
      <c r="B627" s="99"/>
      <c r="C627" s="3"/>
      <c r="G627" s="90"/>
      <c r="H627" s="103"/>
      <c r="I627" s="49"/>
      <c r="J627" s="49"/>
      <c r="K627" s="49"/>
      <c r="L627" s="49"/>
      <c r="M627" s="91"/>
    </row>
    <row r="628" spans="1:13" x14ac:dyDescent="0.2">
      <c r="B628" s="99"/>
      <c r="C628" s="3"/>
      <c r="G628" s="90"/>
      <c r="H628" s="103"/>
      <c r="I628" s="49"/>
      <c r="J628" s="49"/>
      <c r="K628" s="49"/>
      <c r="L628" s="49"/>
      <c r="M628" s="91"/>
    </row>
    <row r="629" spans="1:13" x14ac:dyDescent="0.2">
      <c r="A629" t="s">
        <v>233</v>
      </c>
      <c r="B629" s="99"/>
      <c r="C629" s="3"/>
      <c r="G629" s="90"/>
      <c r="H629" s="103"/>
      <c r="I629" s="49"/>
      <c r="J629" s="49"/>
      <c r="K629" s="49"/>
      <c r="L629" s="49"/>
      <c r="M629" s="91"/>
    </row>
    <row r="630" spans="1:13" ht="13.5" x14ac:dyDescent="0.25">
      <c r="A630" s="11" t="str">
        <f>"Color="&amp;IF('Display Config'!$H$32&gt;=C630,E630,1677216)</f>
        <v>Color=49087</v>
      </c>
      <c r="B630" s="99" t="s">
        <v>247</v>
      </c>
      <c r="C630" s="3">
        <v>2</v>
      </c>
      <c r="E630" s="3">
        <v>49087</v>
      </c>
      <c r="G630" s="90"/>
      <c r="H630" s="104">
        <f>HEX2DEC(I630)</f>
        <v>49087</v>
      </c>
      <c r="I630" s="92" t="str">
        <f>DEC2HEX(K630*255,2)&amp;DEC2HEX(L630*255,2)&amp;DEC2HEX(M630*255,2)</f>
        <v>00BFBF</v>
      </c>
      <c r="J630" s="93"/>
      <c r="K630" s="94">
        <v>0</v>
      </c>
      <c r="L630" s="95">
        <v>0.75</v>
      </c>
      <c r="M630" s="96">
        <v>0.75</v>
      </c>
    </row>
    <row r="631" spans="1:13" x14ac:dyDescent="0.2">
      <c r="A631" t="s">
        <v>166</v>
      </c>
      <c r="B631" s="99"/>
      <c r="C631" s="3"/>
      <c r="G631" s="90"/>
      <c r="H631" s="103"/>
      <c r="I631" s="49"/>
      <c r="J631" s="49"/>
      <c r="K631" s="49"/>
      <c r="L631" s="49"/>
      <c r="M631" s="91"/>
    </row>
    <row r="632" spans="1:13" x14ac:dyDescent="0.2">
      <c r="A632" t="s">
        <v>160</v>
      </c>
      <c r="B632" s="99"/>
      <c r="C632" s="3"/>
      <c r="G632" s="90"/>
      <c r="H632" s="103"/>
      <c r="I632" s="49"/>
      <c r="J632" s="49"/>
      <c r="K632" s="49"/>
      <c r="L632" s="49"/>
      <c r="M632" s="91"/>
    </row>
    <row r="633" spans="1:13" x14ac:dyDescent="0.2">
      <c r="B633" s="99"/>
      <c r="C633" s="3"/>
      <c r="G633" s="90"/>
      <c r="H633" s="103"/>
      <c r="I633" s="49"/>
      <c r="J633" s="49"/>
      <c r="K633" s="49"/>
      <c r="L633" s="49"/>
      <c r="M633" s="91"/>
    </row>
    <row r="634" spans="1:13" x14ac:dyDescent="0.2">
      <c r="A634" t="s">
        <v>234</v>
      </c>
      <c r="B634" s="99"/>
      <c r="C634" s="3"/>
      <c r="G634" s="90"/>
      <c r="H634" s="103"/>
      <c r="I634" s="49"/>
      <c r="J634" s="49"/>
      <c r="K634" s="49"/>
      <c r="L634" s="49"/>
      <c r="M634" s="91"/>
    </row>
    <row r="635" spans="1:13" ht="13.5" x14ac:dyDescent="0.25">
      <c r="A635" s="11" t="str">
        <f>"Color="&amp;IF('Display Config'!$H$32&gt;=C635,E635,1677216)</f>
        <v>Color=12517567</v>
      </c>
      <c r="B635" s="99" t="s">
        <v>247</v>
      </c>
      <c r="C635" s="3">
        <v>3</v>
      </c>
      <c r="E635" s="3">
        <v>12517567</v>
      </c>
      <c r="G635" s="90"/>
      <c r="H635" s="104">
        <f>HEX2DEC(I635)</f>
        <v>12517567</v>
      </c>
      <c r="I635" s="92" t="str">
        <f>DEC2HEX(K635*255,2)&amp;DEC2HEX(L635*255,2)&amp;DEC2HEX(M635*255,2)</f>
        <v>BF00BF</v>
      </c>
      <c r="J635" s="93"/>
      <c r="K635" s="94">
        <v>0.75</v>
      </c>
      <c r="L635" s="95">
        <v>0</v>
      </c>
      <c r="M635" s="96">
        <v>0.75</v>
      </c>
    </row>
    <row r="636" spans="1:13" x14ac:dyDescent="0.2">
      <c r="A636" t="s">
        <v>166</v>
      </c>
      <c r="B636" s="99"/>
      <c r="C636" s="3"/>
      <c r="G636" s="90"/>
      <c r="H636" s="103"/>
      <c r="I636" s="49"/>
      <c r="J636" s="49"/>
      <c r="K636" s="49"/>
      <c r="L636" s="49"/>
      <c r="M636" s="91"/>
    </row>
    <row r="637" spans="1:13" x14ac:dyDescent="0.2">
      <c r="A637" t="s">
        <v>160</v>
      </c>
      <c r="B637" s="99"/>
      <c r="C637" s="3"/>
      <c r="G637" s="90"/>
      <c r="H637" s="103"/>
      <c r="I637" s="49"/>
      <c r="J637" s="49"/>
      <c r="K637" s="49"/>
      <c r="L637" s="49"/>
      <c r="M637" s="91"/>
    </row>
    <row r="638" spans="1:13" x14ac:dyDescent="0.2">
      <c r="B638" s="99"/>
      <c r="C638" s="3"/>
      <c r="G638" s="90"/>
      <c r="H638" s="103"/>
      <c r="I638" s="49"/>
      <c r="J638" s="49"/>
      <c r="K638" s="49"/>
      <c r="L638" s="49"/>
      <c r="M638" s="91"/>
    </row>
    <row r="639" spans="1:13" x14ac:dyDescent="0.2">
      <c r="A639" t="s">
        <v>235</v>
      </c>
      <c r="B639" s="99"/>
      <c r="C639" s="3"/>
      <c r="G639" s="90"/>
      <c r="H639" s="103"/>
      <c r="I639" s="49"/>
      <c r="J639" s="49"/>
      <c r="K639" s="49"/>
      <c r="L639" s="49"/>
      <c r="M639" s="91"/>
    </row>
    <row r="640" spans="1:13" ht="13.5" x14ac:dyDescent="0.25">
      <c r="A640" s="11" t="str">
        <f>"Color="&amp;IF('Display Config'!$H$32&gt;=C640,E640,1677216)</f>
        <v>Color=8355711</v>
      </c>
      <c r="B640" s="99" t="s">
        <v>247</v>
      </c>
      <c r="C640" s="3">
        <v>4</v>
      </c>
      <c r="E640" s="3">
        <v>8355711</v>
      </c>
      <c r="G640" s="90"/>
      <c r="H640" s="104">
        <f>HEX2DEC(I640)</f>
        <v>8355711</v>
      </c>
      <c r="I640" s="92" t="str">
        <f>DEC2HEX(K640*255,2)&amp;DEC2HEX(L640*255,2)&amp;DEC2HEX(M640*255,2)</f>
        <v>7F7F7F</v>
      </c>
      <c r="J640" s="93"/>
      <c r="K640" s="94">
        <v>0.5</v>
      </c>
      <c r="L640" s="95">
        <v>0.5</v>
      </c>
      <c r="M640" s="96">
        <v>0.5</v>
      </c>
    </row>
    <row r="641" spans="1:13" x14ac:dyDescent="0.2">
      <c r="A641" t="s">
        <v>166</v>
      </c>
      <c r="B641" s="99"/>
      <c r="C641" s="3"/>
      <c r="G641" s="90"/>
      <c r="H641" s="103"/>
      <c r="I641" s="49"/>
      <c r="J641" s="49"/>
      <c r="K641" s="49"/>
      <c r="L641" s="49"/>
      <c r="M641" s="91"/>
    </row>
    <row r="642" spans="1:13" x14ac:dyDescent="0.2">
      <c r="A642" t="s">
        <v>160</v>
      </c>
      <c r="B642" s="99"/>
      <c r="C642" s="3"/>
      <c r="G642" s="90"/>
      <c r="H642" s="103"/>
      <c r="I642" s="49"/>
      <c r="J642" s="49"/>
      <c r="K642" s="49"/>
      <c r="L642" s="49"/>
      <c r="M642" s="91"/>
    </row>
    <row r="643" spans="1:13" x14ac:dyDescent="0.2">
      <c r="B643" s="99"/>
      <c r="C643" s="3"/>
      <c r="G643" s="90"/>
      <c r="H643" s="103"/>
      <c r="I643" s="49"/>
      <c r="J643" s="49"/>
      <c r="K643" s="49"/>
      <c r="L643" s="49"/>
      <c r="M643" s="91"/>
    </row>
    <row r="644" spans="1:13" x14ac:dyDescent="0.2">
      <c r="A644" t="s">
        <v>236</v>
      </c>
      <c r="B644" s="99"/>
      <c r="C644" s="3"/>
      <c r="G644" s="90"/>
      <c r="H644" s="103"/>
      <c r="I644" s="49"/>
      <c r="J644" s="49"/>
      <c r="K644" s="49"/>
      <c r="L644" s="49"/>
      <c r="M644" s="91"/>
    </row>
    <row r="645" spans="1:13" ht="13.5" x14ac:dyDescent="0.25">
      <c r="A645" s="11" t="str">
        <f>"Color="&amp;IF('Display Config'!$H$32&gt;=C645,E645,1677216)</f>
        <v>Color=1677216</v>
      </c>
      <c r="B645" s="99" t="s">
        <v>247</v>
      </c>
      <c r="C645" s="3">
        <v>5</v>
      </c>
      <c r="E645" s="3">
        <v>8375423</v>
      </c>
      <c r="G645" s="90"/>
      <c r="H645" s="104">
        <f>HEX2DEC(I645)</f>
        <v>8375423</v>
      </c>
      <c r="I645" s="92" t="str">
        <f>DEC2HEX(K645*255,2)&amp;DEC2HEX(L645*255,2)&amp;DEC2HEX(M645*255,2)</f>
        <v>7FCC7F</v>
      </c>
      <c r="J645" s="93"/>
      <c r="K645" s="94">
        <v>0.5</v>
      </c>
      <c r="L645" s="95">
        <v>0.8</v>
      </c>
      <c r="M645" s="96">
        <v>0.5</v>
      </c>
    </row>
    <row r="646" spans="1:13" x14ac:dyDescent="0.2">
      <c r="A646" t="s">
        <v>166</v>
      </c>
      <c r="B646" s="99"/>
      <c r="C646" s="3"/>
      <c r="G646" s="90"/>
      <c r="H646" s="103"/>
      <c r="I646" s="49"/>
      <c r="J646" s="49"/>
      <c r="K646" s="49"/>
      <c r="L646" s="49"/>
      <c r="M646" s="91"/>
    </row>
    <row r="647" spans="1:13" x14ac:dyDescent="0.2">
      <c r="A647" t="s">
        <v>160</v>
      </c>
      <c r="B647" s="99"/>
      <c r="C647" s="3"/>
      <c r="G647" s="90"/>
      <c r="H647" s="103"/>
      <c r="I647" s="49"/>
      <c r="J647" s="49"/>
      <c r="K647" s="49"/>
      <c r="L647" s="49"/>
      <c r="M647" s="91"/>
    </row>
    <row r="648" spans="1:13" x14ac:dyDescent="0.2">
      <c r="B648" s="99"/>
      <c r="C648" s="3"/>
      <c r="G648" s="90"/>
      <c r="H648" s="103"/>
      <c r="I648" s="49"/>
      <c r="J648" s="49"/>
      <c r="K648" s="49"/>
      <c r="L648" s="49"/>
      <c r="M648" s="91"/>
    </row>
    <row r="649" spans="1:13" x14ac:dyDescent="0.2">
      <c r="A649" t="s">
        <v>237</v>
      </c>
      <c r="B649" s="99"/>
      <c r="C649" s="3"/>
      <c r="G649" s="90"/>
      <c r="H649" s="103"/>
      <c r="I649" s="49"/>
      <c r="J649" s="49"/>
      <c r="K649" s="49"/>
      <c r="L649" s="49"/>
      <c r="M649" s="91"/>
    </row>
    <row r="650" spans="1:13" ht="13.5" x14ac:dyDescent="0.25">
      <c r="A650" s="11" t="str">
        <f>"Color="&amp;IF('Display Config'!$H$32&gt;=C650,E650,1677216)</f>
        <v>Color=1677216</v>
      </c>
      <c r="B650" s="99" t="s">
        <v>247</v>
      </c>
      <c r="C650" s="3">
        <v>6</v>
      </c>
      <c r="E650" s="3">
        <v>19672</v>
      </c>
      <c r="G650" s="90"/>
      <c r="H650" s="104">
        <f>HEX2DEC(I650)</f>
        <v>19672</v>
      </c>
      <c r="I650" s="92" t="str">
        <f>DEC2HEX(K650*255,2)&amp;DEC2HEX(L650*255,2)&amp;DEC2HEX(M650*255,2)</f>
        <v>004CD8</v>
      </c>
      <c r="J650" s="93"/>
      <c r="K650" s="94">
        <v>0</v>
      </c>
      <c r="L650" s="95">
        <v>0.3</v>
      </c>
      <c r="M650" s="96">
        <v>0.85</v>
      </c>
    </row>
    <row r="651" spans="1:13" x14ac:dyDescent="0.2">
      <c r="A651" t="s">
        <v>166</v>
      </c>
      <c r="B651" s="99"/>
      <c r="C651" s="3"/>
      <c r="G651" s="90"/>
      <c r="H651" s="103"/>
      <c r="I651" s="49"/>
      <c r="J651" s="49"/>
      <c r="K651" s="49"/>
      <c r="L651" s="49"/>
      <c r="M651" s="91"/>
    </row>
    <row r="652" spans="1:13" x14ac:dyDescent="0.2">
      <c r="A652" t="s">
        <v>160</v>
      </c>
      <c r="B652" s="99"/>
      <c r="C652" s="3"/>
      <c r="G652" s="90"/>
      <c r="H652" s="103"/>
      <c r="I652" s="49"/>
      <c r="J652" s="49"/>
      <c r="K652" s="49"/>
      <c r="L652" s="49"/>
      <c r="M652" s="91"/>
    </row>
    <row r="653" spans="1:13" x14ac:dyDescent="0.2">
      <c r="B653" s="99"/>
      <c r="C653" s="3"/>
      <c r="G653" s="90"/>
      <c r="H653" s="103"/>
      <c r="I653" s="49"/>
      <c r="J653" s="49"/>
      <c r="K653" s="49"/>
      <c r="L653" s="49"/>
      <c r="M653" s="91"/>
    </row>
    <row r="654" spans="1:13" x14ac:dyDescent="0.2">
      <c r="A654" t="s">
        <v>238</v>
      </c>
      <c r="B654" s="99"/>
      <c r="C654" s="3"/>
      <c r="G654" s="90"/>
      <c r="H654" s="103"/>
      <c r="I654" s="49"/>
      <c r="J654" s="49"/>
      <c r="K654" s="49"/>
      <c r="L654" s="49"/>
      <c r="M654" s="91"/>
    </row>
    <row r="655" spans="1:13" ht="13.5" x14ac:dyDescent="0.25">
      <c r="A655" s="11" t="str">
        <f>"Color="&amp;IF('Display Config'!$H$32&gt;=C655,E655,1677216)</f>
        <v>Color=1677216</v>
      </c>
      <c r="B655" s="99" t="s">
        <v>247</v>
      </c>
      <c r="C655" s="3">
        <v>7</v>
      </c>
      <c r="E655" s="3">
        <v>14175232</v>
      </c>
      <c r="G655" s="90"/>
      <c r="H655" s="104">
        <f>HEX2DEC(I655)</f>
        <v>14175232</v>
      </c>
      <c r="I655" s="92" t="str">
        <f>DEC2HEX(K655*255,2)&amp;DEC2HEX(L655*255,2)&amp;DEC2HEX(M655*255,2)</f>
        <v>D84C00</v>
      </c>
      <c r="J655" s="93"/>
      <c r="K655" s="94">
        <v>0.85</v>
      </c>
      <c r="L655" s="95">
        <v>0.3</v>
      </c>
      <c r="M655" s="96">
        <v>0</v>
      </c>
    </row>
    <row r="656" spans="1:13" x14ac:dyDescent="0.2">
      <c r="A656" t="s">
        <v>108</v>
      </c>
      <c r="B656" s="99"/>
      <c r="C656" s="3"/>
      <c r="G656" s="90"/>
      <c r="H656" s="103"/>
      <c r="I656" s="49"/>
      <c r="J656" s="49"/>
      <c r="K656" s="49"/>
      <c r="L656" s="49"/>
      <c r="M656" s="91"/>
    </row>
    <row r="657" spans="1:13" x14ac:dyDescent="0.2">
      <c r="A657" t="s">
        <v>160</v>
      </c>
      <c r="B657" s="99"/>
      <c r="C657" s="3"/>
      <c r="G657" s="90"/>
      <c r="H657" s="103"/>
      <c r="I657" s="49"/>
      <c r="J657" s="49"/>
      <c r="K657" s="49"/>
      <c r="L657" s="49"/>
      <c r="M657" s="91"/>
    </row>
    <row r="658" spans="1:13" x14ac:dyDescent="0.2">
      <c r="B658" s="99"/>
      <c r="C658" s="3"/>
      <c r="G658" s="90"/>
      <c r="H658" s="103"/>
      <c r="I658" s="49"/>
      <c r="J658" s="49"/>
      <c r="K658" s="49"/>
      <c r="L658" s="49"/>
      <c r="M658" s="91"/>
    </row>
    <row r="659" spans="1:13" x14ac:dyDescent="0.2">
      <c r="A659" t="s">
        <v>239</v>
      </c>
      <c r="B659" s="99"/>
      <c r="C659" s="3"/>
      <c r="G659" s="90"/>
      <c r="H659" s="103"/>
      <c r="I659" s="49"/>
      <c r="J659" s="49"/>
      <c r="K659" s="49"/>
      <c r="L659" s="49"/>
      <c r="M659" s="91"/>
    </row>
    <row r="660" spans="1:13" ht="13.5" x14ac:dyDescent="0.25">
      <c r="A660" s="11" t="str">
        <f>"Color="&amp;IF('Display Config'!$H$32&gt;=C660,E660,1677216)</f>
        <v>Color=1677216</v>
      </c>
      <c r="B660" s="99" t="s">
        <v>247</v>
      </c>
      <c r="C660" s="3">
        <v>8</v>
      </c>
      <c r="E660" s="3">
        <v>1693721</v>
      </c>
      <c r="G660" s="90"/>
      <c r="H660" s="104">
        <f>HEX2DEC(I660)</f>
        <v>1693721</v>
      </c>
      <c r="I660" s="92" t="str">
        <f>DEC2HEX(K660*255,2)&amp;DEC2HEX(L660*255,2)&amp;DEC2HEX(M660*255,2)</f>
        <v>19D819</v>
      </c>
      <c r="J660" s="93"/>
      <c r="K660" s="94">
        <v>0.1</v>
      </c>
      <c r="L660" s="95">
        <v>0.85</v>
      </c>
      <c r="M660" s="96">
        <v>0.1</v>
      </c>
    </row>
    <row r="661" spans="1:13" x14ac:dyDescent="0.2">
      <c r="A661" t="s">
        <v>108</v>
      </c>
      <c r="B661" s="99"/>
      <c r="G661" s="97"/>
      <c r="H661" s="76"/>
      <c r="I661" s="76"/>
      <c r="J661" s="76"/>
      <c r="K661" s="76"/>
      <c r="L661" s="76"/>
      <c r="M661" s="98"/>
    </row>
    <row r="662" spans="1:13" x14ac:dyDescent="0.2">
      <c r="A662" t="s">
        <v>160</v>
      </c>
      <c r="B662" s="99"/>
    </row>
    <row r="663" spans="1:13" x14ac:dyDescent="0.2">
      <c r="B663" s="99"/>
    </row>
    <row r="664" spans="1:13" x14ac:dyDescent="0.2">
      <c r="A664" t="s">
        <v>240</v>
      </c>
      <c r="B664" s="99"/>
    </row>
    <row r="665" spans="1:13" x14ac:dyDescent="0.2">
      <c r="A665" t="s">
        <v>241</v>
      </c>
      <c r="B665" s="99"/>
    </row>
    <row r="666" spans="1:13" x14ac:dyDescent="0.2">
      <c r="A666" t="s">
        <v>242</v>
      </c>
      <c r="B666" s="99"/>
    </row>
    <row r="667" spans="1:13" x14ac:dyDescent="0.2">
      <c r="B667" s="99"/>
    </row>
    <row r="668" spans="1:13" x14ac:dyDescent="0.2">
      <c r="A668" t="s">
        <v>243</v>
      </c>
      <c r="B668" s="99" t="s">
        <v>247</v>
      </c>
    </row>
    <row r="669" spans="1:13" x14ac:dyDescent="0.2">
      <c r="A669" t="s">
        <v>244</v>
      </c>
      <c r="B669" s="99"/>
    </row>
    <row r="670" spans="1:13" x14ac:dyDescent="0.2">
      <c r="A670" t="s">
        <v>245</v>
      </c>
      <c r="B670" s="99"/>
    </row>
  </sheetData>
  <mergeCells count="1">
    <mergeCell ref="G624:M624"/>
  </mergeCells>
  <phoneticPr fontId="0" type="noConversion"/>
  <conditionalFormatting sqref="E557:E559 E564:E576 A547:A581 A602:A65537 A114:A526 A1:A78 A80:A93">
    <cfRule type="expression" dxfId="5" priority="4" stopIfTrue="1">
      <formula>LEFT(A1,1)="["</formula>
    </cfRule>
  </conditionalFormatting>
  <conditionalFormatting sqref="A527:A546 A582:A601">
    <cfRule type="expression" dxfId="4" priority="5" stopIfTrue="1">
      <formula>LEFT(A527,1)="["</formula>
    </cfRule>
    <cfRule type="expression" dxfId="3" priority="6" stopIfTrue="1">
      <formula>D527=FALSE</formula>
    </cfRule>
  </conditionalFormatting>
  <conditionalFormatting sqref="C86">
    <cfRule type="expression" dxfId="2" priority="2" stopIfTrue="1">
      <formula>LEFT(C86,1)="["</formula>
    </cfRule>
  </conditionalFormatting>
  <conditionalFormatting sqref="C84">
    <cfRule type="expression" dxfId="1" priority="3" stopIfTrue="1">
      <formula>LEFT(C84,1)="["</formula>
    </cfRule>
  </conditionalFormatting>
  <conditionalFormatting sqref="A79">
    <cfRule type="expression" dxfId="0" priority="1" stopIfTrue="1">
      <formula>LEFT(A79,1)="["</formula>
    </cfRule>
  </conditionalFormatting>
  <dataValidations disablePrompts="1" count="1">
    <dataValidation type="list" allowBlank="1" showInputMessage="1" showErrorMessage="1" sqref="C549">
      <formula1>$C$549</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6" r:id="rId4" name="Button 6">
              <controlPr defaultSize="0" print="0" autoFill="0" autoPict="0" macro="[0]!Ld_Default">
                <anchor moveWithCells="1" sizeWithCells="1">
                  <from>
                    <xdr:col>7</xdr:col>
                    <xdr:colOff>28575</xdr:colOff>
                    <xdr:row>661</xdr:row>
                    <xdr:rowOff>142875</xdr:rowOff>
                  </from>
                  <to>
                    <xdr:col>9</xdr:col>
                    <xdr:colOff>419100</xdr:colOff>
                    <xdr:row>663</xdr:row>
                    <xdr:rowOff>9525</xdr:rowOff>
                  </to>
                </anchor>
              </controlPr>
            </control>
          </mc:Choice>
        </mc:AlternateContent>
        <mc:AlternateContent xmlns:mc="http://schemas.openxmlformats.org/markup-compatibility/2006">
          <mc:Choice Requires="x14">
            <control shapeId="5128" r:id="rId5" name="Check Box 8">
              <controlPr defaultSize="0" autoFill="0" autoLine="0" autoPict="0" altText="  Manually enter Multiscope target address_x000a_">
                <anchor moveWithCells="1">
                  <from>
                    <xdr:col>4</xdr:col>
                    <xdr:colOff>190500</xdr:colOff>
                    <xdr:row>39</xdr:row>
                    <xdr:rowOff>114300</xdr:rowOff>
                  </from>
                  <to>
                    <xdr:col>4</xdr:col>
                    <xdr:colOff>2114550</xdr:colOff>
                    <xdr:row>41</xdr:row>
                    <xdr:rowOff>66675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K32"/>
  <sheetViews>
    <sheetView showGridLines="0" workbookViewId="0">
      <selection activeCell="A29" sqref="A29"/>
    </sheetView>
  </sheetViews>
  <sheetFormatPr defaultRowHeight="12.75" x14ac:dyDescent="0.2"/>
  <cols>
    <col min="1" max="1" width="13.28515625" bestFit="1" customWidth="1"/>
  </cols>
  <sheetData>
    <row r="1" spans="1:11" x14ac:dyDescent="0.2">
      <c r="A1" s="114" t="s">
        <v>743</v>
      </c>
      <c r="B1" s="114" t="s">
        <v>744</v>
      </c>
      <c r="K1" s="114" t="s">
        <v>724</v>
      </c>
    </row>
    <row r="2" spans="1:11" x14ac:dyDescent="0.2">
      <c r="A2" s="140" t="s">
        <v>785</v>
      </c>
    </row>
    <row r="3" spans="1:11" x14ac:dyDescent="0.2">
      <c r="A3" s="268" t="s">
        <v>747</v>
      </c>
      <c r="B3" s="268"/>
      <c r="C3" s="268"/>
      <c r="D3" s="268"/>
      <c r="E3" s="268"/>
      <c r="F3" s="268"/>
      <c r="G3" s="268"/>
      <c r="H3" s="50"/>
      <c r="I3" s="50"/>
    </row>
    <row r="4" spans="1:11" x14ac:dyDescent="0.2">
      <c r="A4" s="127">
        <v>42815</v>
      </c>
      <c r="B4" s="269" t="s">
        <v>749</v>
      </c>
      <c r="C4" s="269"/>
      <c r="D4" s="269"/>
      <c r="E4" s="269"/>
      <c r="F4" s="269"/>
      <c r="G4" s="269"/>
      <c r="H4" s="269"/>
      <c r="I4" s="269"/>
    </row>
    <row r="5" spans="1:11" x14ac:dyDescent="0.2">
      <c r="A5" s="128">
        <v>42815</v>
      </c>
      <c r="B5" s="270" t="s">
        <v>746</v>
      </c>
      <c r="C5" s="270"/>
      <c r="D5" s="270"/>
      <c r="E5" s="270"/>
      <c r="F5" s="270"/>
      <c r="G5" s="270"/>
      <c r="H5" s="270"/>
      <c r="I5" s="270"/>
    </row>
    <row r="6" spans="1:11" x14ac:dyDescent="0.2">
      <c r="A6" s="127">
        <v>42815</v>
      </c>
      <c r="B6" s="269" t="s">
        <v>750</v>
      </c>
      <c r="C6" s="269"/>
      <c r="D6" s="269"/>
      <c r="E6" s="269"/>
      <c r="F6" s="269"/>
      <c r="G6" s="269"/>
      <c r="H6" s="269"/>
      <c r="I6" s="269"/>
    </row>
    <row r="7" spans="1:11" x14ac:dyDescent="0.2">
      <c r="A7" s="127">
        <v>42816</v>
      </c>
      <c r="B7" s="269" t="s">
        <v>753</v>
      </c>
      <c r="C7" s="269"/>
      <c r="D7" s="269"/>
      <c r="E7" s="269"/>
      <c r="F7" s="269"/>
      <c r="G7" s="269"/>
      <c r="H7" s="269"/>
      <c r="I7" s="269"/>
    </row>
    <row r="8" spans="1:11" x14ac:dyDescent="0.2">
      <c r="A8" s="127">
        <v>42819</v>
      </c>
      <c r="B8" s="269" t="s">
        <v>792</v>
      </c>
      <c r="C8" s="269"/>
      <c r="D8" s="269"/>
      <c r="E8" s="269"/>
      <c r="F8" s="269"/>
      <c r="G8" s="269"/>
      <c r="H8" s="269"/>
      <c r="I8" s="269"/>
    </row>
    <row r="9" spans="1:11" x14ac:dyDescent="0.2">
      <c r="A9" s="127">
        <v>42819</v>
      </c>
      <c r="B9" s="269" t="s">
        <v>788</v>
      </c>
      <c r="C9" s="269"/>
      <c r="D9" s="269"/>
      <c r="E9" s="269"/>
      <c r="F9" s="269"/>
      <c r="G9" s="269"/>
      <c r="H9" s="269"/>
      <c r="I9" s="269"/>
    </row>
    <row r="10" spans="1:11" x14ac:dyDescent="0.2">
      <c r="A10" s="174">
        <v>42819</v>
      </c>
      <c r="B10" s="269" t="s">
        <v>790</v>
      </c>
      <c r="C10" s="269"/>
      <c r="D10" s="269"/>
      <c r="E10" s="269"/>
      <c r="F10" s="269"/>
      <c r="G10" s="269"/>
      <c r="H10" s="269"/>
      <c r="I10" s="269"/>
    </row>
    <row r="11" spans="1:11" x14ac:dyDescent="0.2">
      <c r="A11" s="127">
        <v>42819</v>
      </c>
      <c r="B11" s="269" t="s">
        <v>791</v>
      </c>
      <c r="C11" s="269"/>
      <c r="D11" s="269"/>
      <c r="E11" s="269"/>
      <c r="F11" s="269"/>
      <c r="G11" s="269"/>
      <c r="H11" s="269"/>
      <c r="I11" s="269"/>
    </row>
    <row r="12" spans="1:11" x14ac:dyDescent="0.2">
      <c r="A12" s="50"/>
      <c r="B12" s="269" t="s">
        <v>793</v>
      </c>
      <c r="C12" s="269"/>
      <c r="D12" s="269"/>
      <c r="E12" s="269"/>
      <c r="F12" s="269"/>
      <c r="G12" s="269"/>
      <c r="H12" s="269"/>
      <c r="I12" s="269"/>
    </row>
    <row r="13" spans="1:11" x14ac:dyDescent="0.2">
      <c r="A13" s="127">
        <v>42821</v>
      </c>
      <c r="B13" s="269" t="s">
        <v>794</v>
      </c>
      <c r="C13" s="269"/>
      <c r="D13" s="269"/>
      <c r="E13" s="269"/>
      <c r="F13" s="269"/>
      <c r="G13" s="269"/>
      <c r="H13" s="269"/>
      <c r="I13" s="269"/>
    </row>
    <row r="14" spans="1:11" x14ac:dyDescent="0.2">
      <c r="A14" s="127">
        <v>42821</v>
      </c>
      <c r="B14" s="269" t="s">
        <v>797</v>
      </c>
      <c r="C14" s="269"/>
      <c r="D14" s="269"/>
      <c r="E14" s="269"/>
      <c r="F14" s="269"/>
      <c r="G14" s="269"/>
      <c r="H14" s="269"/>
      <c r="I14" s="269"/>
    </row>
    <row r="15" spans="1:11" x14ac:dyDescent="0.2">
      <c r="A15" s="127">
        <v>42822</v>
      </c>
      <c r="B15" s="269" t="s">
        <v>801</v>
      </c>
      <c r="C15" s="269"/>
      <c r="D15" s="269"/>
      <c r="E15" s="269"/>
      <c r="F15" s="269"/>
      <c r="G15" s="269"/>
      <c r="H15" s="269"/>
      <c r="I15" s="269"/>
      <c r="J15" s="203">
        <v>1.1020000000000001</v>
      </c>
    </row>
    <row r="16" spans="1:11" x14ac:dyDescent="0.2">
      <c r="A16" s="50"/>
      <c r="B16" s="269" t="s">
        <v>804</v>
      </c>
      <c r="C16" s="269"/>
      <c r="D16" s="269"/>
      <c r="E16" s="269"/>
      <c r="F16" s="269"/>
      <c r="G16" s="269"/>
      <c r="H16" s="269"/>
      <c r="I16" s="269"/>
      <c r="J16" s="203">
        <v>1.1100000000000001</v>
      </c>
    </row>
    <row r="17" spans="1:10" x14ac:dyDescent="0.2">
      <c r="A17" s="50"/>
      <c r="B17" s="269" t="s">
        <v>806</v>
      </c>
      <c r="C17" s="269"/>
      <c r="D17" s="269"/>
      <c r="E17" s="269"/>
      <c r="F17" s="269"/>
      <c r="G17" s="269"/>
      <c r="H17" s="269"/>
      <c r="I17" s="269"/>
      <c r="J17" s="203">
        <v>1.2</v>
      </c>
    </row>
    <row r="18" spans="1:10" x14ac:dyDescent="0.2">
      <c r="A18" s="127">
        <v>42823</v>
      </c>
      <c r="B18" s="50" t="s">
        <v>808</v>
      </c>
      <c r="C18" s="50"/>
      <c r="D18" s="50"/>
      <c r="E18" s="50"/>
      <c r="F18" s="50"/>
      <c r="G18" s="50"/>
      <c r="H18" s="160"/>
      <c r="J18" s="203">
        <v>1.21</v>
      </c>
    </row>
    <row r="19" spans="1:10" x14ac:dyDescent="0.2">
      <c r="A19" s="50"/>
      <c r="B19" s="50" t="s">
        <v>810</v>
      </c>
      <c r="C19" s="50"/>
      <c r="D19" s="50"/>
      <c r="E19" s="50"/>
      <c r="F19" s="50"/>
      <c r="G19" s="50"/>
      <c r="H19" s="160"/>
      <c r="J19" s="203">
        <v>1.26</v>
      </c>
    </row>
    <row r="20" spans="1:10" x14ac:dyDescent="0.2">
      <c r="A20" s="50"/>
      <c r="B20" s="50" t="s">
        <v>813</v>
      </c>
      <c r="C20" s="50"/>
      <c r="D20" s="50"/>
      <c r="E20" s="50"/>
      <c r="F20" s="50"/>
      <c r="G20" s="50"/>
      <c r="H20" s="160"/>
      <c r="J20" s="203">
        <v>1.262</v>
      </c>
    </row>
    <row r="21" spans="1:10" x14ac:dyDescent="0.2">
      <c r="A21" s="50"/>
      <c r="B21" s="50" t="s">
        <v>815</v>
      </c>
      <c r="C21" s="50"/>
      <c r="D21" s="50"/>
      <c r="E21" s="50"/>
      <c r="F21" s="50"/>
      <c r="G21" s="50"/>
      <c r="H21" s="160"/>
      <c r="J21" s="203">
        <v>1.3</v>
      </c>
    </row>
    <row r="22" spans="1:10" x14ac:dyDescent="0.2">
      <c r="A22" s="127">
        <v>42824</v>
      </c>
      <c r="B22" s="50" t="s">
        <v>816</v>
      </c>
      <c r="C22" s="50"/>
      <c r="D22" s="50"/>
      <c r="E22" s="50"/>
      <c r="F22" s="50"/>
      <c r="G22" s="50"/>
      <c r="H22" s="160"/>
      <c r="J22" s="203">
        <v>1.31</v>
      </c>
    </row>
    <row r="23" spans="1:10" x14ac:dyDescent="0.2">
      <c r="A23" s="50"/>
      <c r="B23" s="186" t="s">
        <v>816</v>
      </c>
      <c r="C23" s="50"/>
      <c r="D23" s="50"/>
      <c r="E23" s="50"/>
      <c r="F23" s="50"/>
      <c r="G23" s="50"/>
      <c r="H23" s="160"/>
      <c r="J23" s="203">
        <v>1.32</v>
      </c>
    </row>
    <row r="24" spans="1:10" x14ac:dyDescent="0.2">
      <c r="A24" s="50"/>
      <c r="B24" s="50" t="s">
        <v>817</v>
      </c>
      <c r="C24" s="50"/>
      <c r="D24" s="50"/>
      <c r="E24" s="50"/>
      <c r="F24" s="50"/>
      <c r="G24" s="50"/>
      <c r="H24" s="160"/>
      <c r="J24" s="203">
        <v>1.4</v>
      </c>
    </row>
    <row r="25" spans="1:10" x14ac:dyDescent="0.2">
      <c r="A25" s="50"/>
      <c r="B25" s="50" t="s">
        <v>828</v>
      </c>
      <c r="C25" s="50"/>
      <c r="D25" s="50"/>
      <c r="E25" s="50"/>
      <c r="F25" s="50"/>
      <c r="G25" s="50"/>
      <c r="H25" s="160"/>
      <c r="J25" s="202"/>
    </row>
    <row r="26" spans="1:10" x14ac:dyDescent="0.2">
      <c r="A26" s="50"/>
      <c r="B26" s="50" t="s">
        <v>831</v>
      </c>
      <c r="C26" s="50"/>
      <c r="D26" s="50"/>
      <c r="E26" s="50"/>
      <c r="F26" s="50"/>
      <c r="G26" s="50"/>
      <c r="H26" s="160"/>
      <c r="J26" s="202"/>
    </row>
    <row r="27" spans="1:10" x14ac:dyDescent="0.2">
      <c r="A27" s="50"/>
      <c r="B27" s="198" t="s">
        <v>832</v>
      </c>
      <c r="C27" s="198"/>
      <c r="D27" s="50"/>
      <c r="E27" s="50"/>
      <c r="F27" s="50"/>
      <c r="G27" s="50"/>
      <c r="H27" s="160"/>
      <c r="J27" s="202"/>
    </row>
    <row r="28" spans="1:10" x14ac:dyDescent="0.2">
      <c r="A28" s="127">
        <v>42464</v>
      </c>
      <c r="B28" s="199" t="s">
        <v>833</v>
      </c>
      <c r="C28" s="50"/>
      <c r="D28" s="50"/>
      <c r="E28" s="50"/>
      <c r="F28" s="50"/>
      <c r="G28" s="50"/>
      <c r="H28" s="160"/>
      <c r="J28" s="202">
        <v>1.4610000000000001</v>
      </c>
    </row>
    <row r="29" spans="1:10" x14ac:dyDescent="0.2">
      <c r="A29" s="127">
        <v>42835</v>
      </c>
      <c r="B29" s="50" t="s">
        <v>838</v>
      </c>
      <c r="C29" s="50"/>
      <c r="D29" s="50"/>
      <c r="E29" s="50"/>
      <c r="F29" s="50"/>
      <c r="G29" s="50"/>
      <c r="H29" s="160"/>
      <c r="J29" s="202">
        <v>2</v>
      </c>
    </row>
    <row r="30" spans="1:10" x14ac:dyDescent="0.2">
      <c r="A30" s="50"/>
      <c r="B30" s="50"/>
      <c r="C30" s="50"/>
      <c r="D30" s="50"/>
      <c r="E30" s="50"/>
      <c r="F30" s="50"/>
      <c r="G30" s="50"/>
    </row>
    <row r="31" spans="1:10" x14ac:dyDescent="0.2">
      <c r="A31" s="50"/>
      <c r="B31" s="50"/>
      <c r="C31" s="50"/>
      <c r="D31" s="50"/>
      <c r="E31" s="50"/>
      <c r="F31" s="50"/>
      <c r="G31" s="50"/>
    </row>
    <row r="32" spans="1:10" x14ac:dyDescent="0.2">
      <c r="A32" s="50"/>
      <c r="B32" s="50"/>
      <c r="C32" s="50"/>
      <c r="D32" s="50"/>
      <c r="E32" s="50"/>
      <c r="F32" s="50"/>
      <c r="G32" s="50"/>
    </row>
  </sheetData>
  <mergeCells count="15">
    <mergeCell ref="B16:I16"/>
    <mergeCell ref="B17:I17"/>
    <mergeCell ref="B11:I11"/>
    <mergeCell ref="B12:I12"/>
    <mergeCell ref="B13:I13"/>
    <mergeCell ref="B14:I14"/>
    <mergeCell ref="B15:I15"/>
    <mergeCell ref="A3:G3"/>
    <mergeCell ref="B8:I8"/>
    <mergeCell ref="B9:I9"/>
    <mergeCell ref="B10:I10"/>
    <mergeCell ref="B4:I4"/>
    <mergeCell ref="B5:I5"/>
    <mergeCell ref="B6:I6"/>
    <mergeCell ref="B7:I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90" r:id="rId3" name="Button 2">
              <controlPr defaultSize="0" print="0" autoFill="0" autoPict="0" macro="[0]!Go_Calc">
                <anchor moveWithCells="1" sizeWithCells="1">
                  <from>
                    <xdr:col>0</xdr:col>
                    <xdr:colOff>638175</xdr:colOff>
                    <xdr:row>73</xdr:row>
                    <xdr:rowOff>104775</xdr:rowOff>
                  </from>
                  <to>
                    <xdr:col>3</xdr:col>
                    <xdr:colOff>114300</xdr:colOff>
                    <xdr:row>76</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14</vt:i4>
      </vt:variant>
    </vt:vector>
  </HeadingPairs>
  <TitlesOfParts>
    <vt:vector size="25" baseType="lpstr">
      <vt:lpstr>Display Config</vt:lpstr>
      <vt:lpstr>Button Bar</vt:lpstr>
      <vt:lpstr>Features</vt:lpstr>
      <vt:lpstr>Support</vt:lpstr>
      <vt:lpstr>MultiScope Options</vt:lpstr>
      <vt:lpstr>Internal Server Paths</vt:lpstr>
      <vt:lpstr>SysExec</vt:lpstr>
      <vt:lpstr>DSPCTRL</vt:lpstr>
      <vt:lpstr>SysConfig</vt:lpstr>
      <vt:lpstr>Multiscope Display</vt:lpstr>
      <vt:lpstr>Revision History</vt:lpstr>
      <vt:lpstr>DSPCTRL!DSPCTRL</vt:lpstr>
      <vt:lpstr>'Multiscope Display'!MultiScope_Display</vt:lpstr>
      <vt:lpstr>PlotWorkspace</vt:lpstr>
      <vt:lpstr>pod</vt:lpstr>
      <vt:lpstr>pod_table</vt:lpstr>
      <vt:lpstr>'Display Config'!Print_Area</vt:lpstr>
      <vt:lpstr>Serial</vt:lpstr>
      <vt:lpstr>StartMSD</vt:lpstr>
      <vt:lpstr>SysExec!SYSEXEC</vt:lpstr>
      <vt:lpstr>user</vt:lpstr>
      <vt:lpstr>UserName</vt:lpstr>
      <vt:lpstr>UserNameCheck</vt:lpstr>
      <vt:lpstr>WorkingDir</vt:lpstr>
      <vt:lpstr>ZB</vt:lpstr>
    </vt:vector>
  </TitlesOfParts>
  <Company>DSPsci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 Stem</dc:creator>
  <cp:lastModifiedBy>dspcon</cp:lastModifiedBy>
  <cp:lastPrinted>2017-04-04T14:44:26Z</cp:lastPrinted>
  <dcterms:created xsi:type="dcterms:W3CDTF">2008-08-26T14:04:08Z</dcterms:created>
  <dcterms:modified xsi:type="dcterms:W3CDTF">2017-04-14T19:00:01Z</dcterms:modified>
  <cp:version>1.462</cp:version>
</cp:coreProperties>
</file>